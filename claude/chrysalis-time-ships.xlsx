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Four cores" sheetId="2" state="visible" r:id="rId4"/>
    <sheet name="More cores" sheetId="3" state="visible" r:id="rId5"/>
    <sheet name="Chrysalis" sheetId="4" state="visible" r:id="rId6"/>
    <sheet name="Lead table" sheetId="5" state="visible" r:id="rId7"/>
    <sheet name="Tower" sheetId="6" state="visible" r:id="rId8"/>
    <sheet name="Lantern" sheetId="7" state="visible" r:id="rId9"/>
    <sheet name="Nautilus" sheetId="8" state="visible" r:id="rId10"/>
    <sheet name="Vigil" sheetId="9" state="visible" r:id="rId11"/>
    <sheet name="Constants" sheetId="10" state="visible" r:id="rId12"/>
    <sheet name="Pendulum" sheetId="11" state="visible" r:id="rId13"/>
    <sheet name="Moult" sheetId="12" state="visible" r:id="rId14"/>
    <sheet name="Lighthouse" sheetId="13" state="visible" r:id="rId15"/>
    <sheet name="Sundiver"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<sst xmlns="http://schemas.openxmlformats.org/spreadsheetml/2006/main" count="1237" uniqueCount="778">
  <si>
    <t xml:space="preserve">Time ships after Chrysalis — design sheet</t>
  </si>
  <si>
    <t xml:space="preserve">Built 8 October 2026 from the brainstorm 'time travel spacecraft similar to Chrysalis'. Every number is a live formula over the blue inputs; change a distance, an acceleration, a radius or a mass and the leads, stresses and bills follow.</t>
  </si>
  <si>
    <t xml:space="preserve">THE IDEA</t>
  </si>
  <si>
    <t xml:space="preserve">Chrysalis is already a time machine, just a slow one of the kind a cesium clock can measure: at 1 g its rim clocks run ~14 ns/day behind the hub, and over its 400-year crossing at ~1% of c the passengers step off about eight days younger than Earth's calendar. So the brief for a time ship is: make the lead bigger, and decide whose clock you're cheating. Keep the five coats, swap the core.</t>
  </si>
  <si>
    <t xml:space="preserve">Legend</t>
  </si>
  <si>
    <t xml:space="preserve">Blue text = an input you can change.  Black = a formula.  Green = a link to another sheet.  Yellow fill = an assumption worth questioning. The Notes column carries the reasoning and the source for each line.</t>
  </si>
  <si>
    <t xml:space="preserve">SHEETS</t>
  </si>
  <si>
    <t xml:space="preserve">Four cores</t>
  </si>
  <si>
    <t xml:space="preserve">The four designs side by side: what replaces the shuttle bay, the physics status, the lead and the bill (live).</t>
  </si>
  <si>
    <t xml:space="preserve">Chrysalis</t>
  </si>
  <si>
    <t xml:space="preserve">The baseline as reported: geometry, cruise speed, spin gravity and the clocks aboard, hoop stress (and the Tipler check), the 400-year lead, fuel, people, and what the nose ploughs through.</t>
  </si>
  <si>
    <t xml:space="preserve">Lead table</t>
  </si>
  <si>
    <t xml:space="preserve">Seven ships (two are yours to play with): ship time, Earth time, lead, peak speed, mass ratio, and the light-time the Lantern needs. Includes a 1 g lead-vs-distance chart.</t>
  </si>
  <si>
    <t xml:space="preserve">Tower</t>
  </si>
  <si>
    <t xml:space="preserve">The dilation ship: thrust gravity, the engine's power, floors and lifts, the prow-to-stern clock gradient, the ice shield, and the crew's arrival.</t>
  </si>
  <si>
    <t xml:space="preserve">Lantern</t>
  </si>
  <si>
    <t xml:space="preserve">The wormhole door: the negative-mass bill, how deep the door goes for each ship, and whether a closed timelike curve forms.</t>
  </si>
  <si>
    <t xml:space="preserve">Nautilus</t>
  </si>
  <si>
    <t xml:space="preserve">The archive ship: how much it can grow from its own spent tankage, the walk back through time, spin balance, and each era's clock.</t>
  </si>
  <si>
    <t xml:space="preserve">Vigil</t>
  </si>
  <si>
    <t xml:space="preserve">The cold-storage ship: the roster arithmetic, the pods, the speed bonus from a lighter ship, and the 40-watch calendar.</t>
  </si>
  <si>
    <t xml:space="preserve">More cores</t>
  </si>
  <si>
    <t xml:space="preserve">The second wing (9 Oct 2026): ferry, shed hull, broadcast, homebody — side by side, live.</t>
  </si>
  <si>
    <t xml:space="preserve">Pendulum</t>
  </si>
  <si>
    <t xml:space="preserve">The ferry: 1 g out and home; the timetable of futures a ticket buys, and the fare that closes the ferry.</t>
  </si>
  <si>
    <t xml:space="preserve">Moult</t>
  </si>
  <si>
    <t xml:space="preserve">The shed hull: jettison emptied shells before the brake; a quadratic turns casings into cruise speed (0% moult reproduces Chrysalis exactly).</t>
  </si>
  <si>
    <t xml:space="preserve">Lighthouse</t>
  </si>
  <si>
    <t xml:space="preserve">The broadcast: the voyage as a 404-year slow-motion transmission; Doppler, latency, and photons per second across four light-years.</t>
  </si>
  <si>
    <t xml:space="preserve">Sundiver</t>
  </si>
  <si>
    <t xml:space="preserve">The homebody: Sun-grazing orbits bank seconds per pass, and the honest verdict — the wheel beats the well 3,900 to 1.</t>
  </si>
  <si>
    <t xml:space="preserve">Constants</t>
  </si>
  <si>
    <t xml:space="preserve">Physical constants with sources, the shared assumptions (interstellar density, dust ratio), the project's own clocks for scale, and the materials table.</t>
  </si>
  <si>
    <t xml:space="preserve">CAVEATS</t>
  </si>
  <si>
    <t xml:space="preserve">Chrysalis figures</t>
  </si>
  <si>
    <t xml:space="preserve">From press coverage of the Project Hyperion entry (58 km, 6 km, 2.4 billion t, 2,400 people, 400 years, 40 trillion km). The team's own report may differ; the inputs are blue so you can correct them.</t>
  </si>
  <si>
    <t xml:space="preserve">Orders of magnitude</t>
  </si>
  <si>
    <t xml:space="preserve">The torch rows assume a perfect photon rocket (the floor on the fuel bill). The ice-shield mass is an upper bound (every joule sublimates ice). The wormhole mass is the Morris–Thorne order of magnitude. Hoop stress is for a self-supporting thin shell. None of this is a design; all of it is a sanity check.</t>
  </si>
  <si>
    <t xml:space="preserve">Corrections to the spoken version</t>
  </si>
  <si>
    <t xml:space="preserve">Three things the formulas overturned. (1) The peak proton flux on the prow is ~300 kW/m², not 100: the ship-frame density is γn. (2) 'The prow is a glacier' fails: a sacrificial ice prow the full width of the ship needs ~66 Gt at n = 1 cm⁻³ (27 ships' worth, a 2.5-km slab), not 30 Mt — so the Tower needs a needle prow, a refractory bow that re-radiates at ~1,500 K, or a magnetic deflector; the Tower sheet now checks the refractory option. (3) The Proxima torch's ship time is 3.5 years at 4.2465 ly (3.6 is the usual round figure). Everything else checks out.</t>
  </si>
  <si>
    <t xml:space="preserve">SOURCES</t>
  </si>
  <si>
    <t xml:space="preserve">Project Hyperion Design Competition results — https://projecthyperion.org/</t>
  </si>
  <si>
    <t xml:space="preserve">Centauri Dreams, 'Chrysalis: Designing a Generation Ship' (12 Aug 2025) — https://www.centauri-dreams.org/2025/08/12/chrysalis-designing-a-generation-ship/</t>
  </si>
  <si>
    <t xml:space="preserve">Holistic News, 'This Starship Could Take Us to the Stars' — https://holistic.news/en/journey-to-alpha-centauri-a-ship-is-designed/</t>
  </si>
  <si>
    <t xml:space="preserve">ITC.ua, 'Chrysalis: an interstellar ship project to travel 2400 people for 400 years' — https://itc.ua/en/news/chrysalis-an-interstellar-ship-project-to-travel-2400-people-for-400-years</t>
  </si>
  <si>
    <t xml:space="preserve">Futura-Sciences, Chrysalis coverage — https://www.futura-sciences.com/en/?p=20696</t>
  </si>
  <si>
    <t xml:space="preserve">Interesting Engineering, '36-mile-long cigar-shaped starship' — https://interestingengineering.com/space/engineers-propose-multi-generational-spacecraft</t>
  </si>
  <si>
    <t xml:space="preserve">Indian Defence Review, 'No return, no rescue: meet Chrysalis' — https://indiandefencereview.com/no-return-no-rescue-meet-chrysalis-the-36-mile-starship-designed-to-carry-1000-humans-into-deep-space-forever/</t>
  </si>
  <si>
    <t xml:space="preserve">Morris, Thorne &amp; Yurtsever, 'Wormholes, Time Machines, and the Weak Energy Condition', Phys. Rev. Lett. 61, 1446 (1988)</t>
  </si>
  <si>
    <t xml:space="preserve">Hawking, 'Chronology protection conjecture', Phys. Rev. D 46, 603 (1992)</t>
  </si>
  <si>
    <t xml:space="preserve">Tipler, 'Rotating cylinders and the possibility of global causality violation', Phys. Rev. D 9, 2203 (1974)</t>
  </si>
  <si>
    <t xml:space="preserve">Vessot et al., Gravity Probe A, Phys. Rev. Lett. 45, 2081 (1980) — 7×10⁻⁵ test of gravitational redshift</t>
  </si>
  <si>
    <t xml:space="preserve">The Greylock Time Machine design note — Time Travel project, claude/greylock-time-machine.md</t>
  </si>
  <si>
    <t xml:space="preserve">Constants: CODATA 2018; IAU 2015 nominal values; Lee et al., Science 321, 385 (2008) for graphene</t>
  </si>
  <si>
    <t xml:space="preserve">Four cores — keep Chrysalis's five coats, swap the core</t>
  </si>
  <si>
    <t xml:space="preserve">Chrysalis is five concentric shells around a core that holds the landing shuttles and the main comms. Each design below keeps the shells and replaces the core. Numbers are live links to the other sheets.</t>
  </si>
  <si>
    <t xml:space="preserve">TOWER — the engine</t>
  </si>
  <si>
    <t xml:space="preserve">LANTERN — the door</t>
  </si>
  <si>
    <t xml:space="preserve">NAUTILUS — the archive</t>
  </si>
  <si>
    <t xml:space="preserve">VIGIL — the vault</t>
  </si>
  <si>
    <t xml:space="preserve">What replaces the shuttle bay</t>
  </si>
  <si>
    <t xml:space="preserve">The engine. Thrust is gravity: 'down' is aft and the five shells become stacked floors of a 58-km tower standing on its exhaust.</t>
  </si>
  <si>
    <t xml:space="preserve">A wormhole mouth. Its twin stays at the Earth–Moon L1 yard where the ship was built; the core stops being an axis and becomes a point, so the shells nest as spheres round a lantern room.</t>
  </si>
  <si>
    <t xml:space="preserve">An archive. Each generation builds the next chamber onto the axis and seals the one it grew up in exactly as it was lived — lights on, cups on the table.</t>
  </si>
  <si>
    <t xml:space="preserve">A vault. Cold storage for everyone not on watch; sixty awake at a time in ten-year watches.</t>
  </si>
  <si>
    <t xml:space="preserve">Gravity</t>
  </si>
  <si>
    <t xml:space="preserve">Thrust, 1 g aft (spin gravity gives way)</t>
  </si>
  <si>
    <t xml:space="preserve">Spin</t>
  </si>
  <si>
    <t xml:space="preserve">Spin — balanced as the ship grows</t>
  </si>
  <si>
    <t xml:space="preserve">Physics status</t>
  </si>
  <si>
    <t xml:space="preserve">Known physics: forward time dilation, measured to 7×10⁻⁵ (Gravity Probe A). The bill is engineering.</t>
  </si>
  <si>
    <t xml:space="preserve">Permitted on paper (Morris–Thorne–Yurtsever 1988) but needs negative energy in bulk, which quantum theory forbids. Chronology protection waits past the speed limit.</t>
  </si>
  <si>
    <t xml:space="preserve">Known physics: civil engineering and archiving.</t>
  </si>
  <si>
    <t xml:space="preserve">Needs reversible human cold storage — the one technology here that does not exist.</t>
  </si>
  <si>
    <t xml:space="preserve">Direction of travel</t>
  </si>
  <si>
    <t xml:space="preserve">Forward only</t>
  </si>
  <si>
    <t xml:space="preserve">Backward — to a moment after the ship left, never before</t>
  </si>
  <si>
    <t xml:space="preserve">Forward; the archive lets the future stand in the past, in place</t>
  </si>
  <si>
    <t xml:space="preserve">Forward, by skipping</t>
  </si>
  <si>
    <t xml:space="preserve">Lead (live)</t>
  </si>
  <si>
    <t xml:space="preserve">Who ages less</t>
  </si>
  <si>
    <t xml:space="preserve">The crew</t>
  </si>
  <si>
    <t xml:space="preserve">The ship's mouth, so the door opens onto the past</t>
  </si>
  <si>
    <t xml:space="preserve">Nobody to speak of; the time travel is cultural</t>
  </si>
  <si>
    <t xml:space="preserve">Everyone asleep</t>
  </si>
  <si>
    <t xml:space="preserve">The bill (live)</t>
  </si>
  <si>
    <t xml:space="preserve">The human problem</t>
  </si>
  <si>
    <t xml:space="preserve">Nobody is born en route; the crew are the travellers, and no mission control waits at the far end. The ship must carry its own Earth.</t>
  </si>
  <si>
    <t xml:space="preserve">It deletes the one thing that defines a generation ship — isolation — and replaces it with something stranger: you can go home whenever you like, but home is always a little in the past.</t>
  </si>
  <si>
    <t xml:space="preserve">Deciding what a generation is allowed to leave out. The Hyperion jury said only Chrysalis took intergenerational meaning-making seriously; this is that, built into the hull.</t>
  </si>
  <si>
    <t xml:space="preserve">Rip Van Winkle in reverse: each watch is a different century's people, and the sleepers wake as strangers to those who kept them.</t>
  </si>
  <si>
    <t xml:space="preserve">Stacks with</t>
  </si>
  <si>
    <t xml:space="preserve">Nautilus as its interior; Vigil for the galactic-centre dial</t>
  </si>
  <si>
    <t xml:space="preserve">Tower, Lantern</t>
  </si>
  <si>
    <t xml:space="preserve">Sheet</t>
  </si>
  <si>
    <t xml:space="preserve">More cores — the second wing</t>
  </si>
  <si>
    <t xml:space="preserve">Four further cores in the same idiom (added 9 October 2026): keep the shells, swap the core. Each column links live to its sheet; the first four are on Four cores.</t>
  </si>
  <si>
    <t xml:space="preserve">PENDULUM — the ferry</t>
  </si>
  <si>
    <t xml:space="preserve">MOULT — the shed hull</t>
  </si>
  <si>
    <t xml:space="preserve">LIGHTHOUSE — the broadcast</t>
  </si>
  <si>
    <t xml:space="preserve">SUNDIVER — the homebody</t>
  </si>
  <si>
    <t xml:space="preserve">A return engine. The ship swings out and home at 1 g forever; the shells are a terminal, not a colony.</t>
  </si>
  <si>
    <t xml:space="preserve">Nothing — that is the point. Each emptied shell is sealed and cast off; the hull that brakes at Proxima is half the hull that launched.</t>
  </si>
  <si>
    <t xml:space="preserve">A clock vault and a stern laser. The core broadcasts the crew's slower stream of time home for four centuries.</t>
  </si>
  <si>
    <t xml:space="preserve">A heat shield. The ship never leaves the Sun; it dives, and banks.</t>
  </si>
  <si>
    <t xml:space="preserve">Thrust, 1 g</t>
  </si>
  <si>
    <t xml:space="preserve">Spin (freefall in the dives)</t>
  </si>
  <si>
    <t xml:space="preserve">Known physics; the fare is the problem</t>
  </si>
  <si>
    <t xml:space="preserve">Known physics; a staging problem</t>
  </si>
  <si>
    <t xml:space="preserve">Known physics; nothing new flies at all</t>
  </si>
  <si>
    <t xml:space="preserve">Known physics; thermally heroic, temporally feeble</t>
  </si>
  <si>
    <t xml:space="preserve">Forward, round trip — the only core that comes home</t>
  </si>
  <si>
    <t xml:space="preserve">Forward</t>
  </si>
  <si>
    <t xml:space="preserve">Forward — and outward: it hands the stay-at-homes the voyage in slow motion</t>
  </si>
  <si>
    <t xml:space="preserve">Forward, barely</t>
  </si>
  <si>
    <t xml:space="preserve">The riders, one ticket at a time</t>
  </si>
  <si>
    <t xml:space="preserve">The crew — and the cast-off shells least of all</t>
  </si>
  <si>
    <t xml:space="preserve">The crew; Earth merely gets to watch</t>
  </si>
  <si>
    <t xml:space="preserve">The kettle</t>
  </si>
  <si>
    <t xml:space="preserve">The ferry crew can keep no friendship ashore: every workmate ages a cycle per cycle.</t>
  </si>
  <si>
    <t xml:space="preserve">Throwing away the rooms your grandparents lived in is Nautilus's nightmare — Moult and Nautilus cannot both be your culture.</t>
  </si>
  <si>
    <t xml:space="preserve">Celebrity without reply: the crew perform their lives for an audience whose answers arrive a childhood later.</t>
  </si>
  <si>
    <t xml:space="preserve">None. Nobody rides it; that is the verdict.</t>
  </si>
  <si>
    <t xml:space="preserve">Lantern — a mouth at each terminal turns the ferry into a subway</t>
  </si>
  <si>
    <t xml:space="preserve">Vigil — each watch seals a shell and sheds it</t>
  </si>
  <si>
    <t xml:space="preserve">Every other core: any time ship should carry the Lighthouse as its black box</t>
  </si>
  <si>
    <t xml:space="preserve">The Greylock bench — a calibration source, not a ship</t>
  </si>
  <si>
    <t xml:space="preserve">Chrysalis as drawn — the baseline</t>
  </si>
  <si>
    <t xml:space="preserve">The Project Hyperion winner (i4is, 2025) as reported in press coverage of the entry; the team's own report may differ. Everything below is computed from the blue inputs, so change a number and the clocks, stresses and leads follow.</t>
  </si>
  <si>
    <t xml:space="preserve">Inputs, as reported</t>
  </si>
  <si>
    <t xml:space="preserve">Quantity</t>
  </si>
  <si>
    <t xml:space="preserve">Value</t>
  </si>
  <si>
    <t xml:space="preserve">Unit</t>
  </si>
  <si>
    <t xml:space="preserve">Notes / source</t>
  </si>
  <si>
    <t xml:space="preserve">Length</t>
  </si>
  <si>
    <t xml:space="preserve">km</t>
  </si>
  <si>
    <t xml:space="preserve">holistic.news; Interesting Engineering (36 miles)</t>
  </si>
  <si>
    <t xml:space="preserve">Diameter</t>
  </si>
  <si>
    <t xml:space="preserve">holistic.news</t>
  </si>
  <si>
    <t xml:space="preserve">Mass (taken here as the dry, as-built mass)</t>
  </si>
  <si>
    <t xml:space="preserve">tonnes</t>
  </si>
  <si>
    <t xml:space="preserve">Indian Defence Review: 'over 2.4 billion tons'</t>
  </si>
  <si>
    <t xml:space="preserve">Capacity</t>
  </si>
  <si>
    <t xml:space="preserve">people</t>
  </si>
  <si>
    <t xml:space="preserve">Futura-Sciences; Interesting Engineering</t>
  </si>
  <si>
    <t xml:space="preserve">Steady-state population (births planned to hold this)</t>
  </si>
  <si>
    <t xml:space="preserve">Futura-Sciences; holistic.news</t>
  </si>
  <si>
    <t xml:space="preserve">Distance to Proxima Centauri b</t>
  </si>
  <si>
    <t xml:space="preserve">itc.ua: '40 trillion kilometres' (Proxima is 4.25 ly = 4.02×10¹³ km)</t>
  </si>
  <si>
    <t xml:space="preserve">Journey time, Earth years</t>
  </si>
  <si>
    <t xml:space="preserve">years</t>
  </si>
  <si>
    <t xml:space="preserve">itc.ua; holistic.news</t>
  </si>
  <si>
    <t xml:space="preserve">Gravity at the outer shell, from spin</t>
  </si>
  <si>
    <t xml:space="preserve">g</t>
  </si>
  <si>
    <t xml:space="preserve">The ship rotates for gravity; 1 g at the rim is this sheet's assumption</t>
  </si>
  <si>
    <t xml:space="preserve">Nested layers around the core</t>
  </si>
  <si>
    <t xml:space="preserve">Futura-Sciences ('five concentric layers')</t>
  </si>
  <si>
    <t xml:space="preserve">Assumptions (edit)</t>
  </si>
  <si>
    <t xml:space="preserve">Fusion exhaust velocity, as a fraction of c</t>
  </si>
  <si>
    <t xml:space="preserve">× c</t>
  </si>
  <si>
    <t xml:space="preserve">Daedalus-class D–³He exhaust ≈ 10,000 km/s. Chrysalis cites Daedalus-style fusion (Centauri Dreams).</t>
  </si>
  <si>
    <t xml:space="preserve">Life expectancy aboard</t>
  </si>
  <si>
    <t xml:space="preserve">Assumption</t>
  </si>
  <si>
    <t xml:space="preserve">Generation length</t>
  </si>
  <si>
    <t xml:space="preserve">Earliest launch</t>
  </si>
  <si>
    <t xml:space="preserve">year</t>
  </si>
  <si>
    <t xml:space="preserve">≈75 years of Antarctic isolation + 20–25 years of construction, counted from now</t>
  </si>
  <si>
    <t xml:space="preserve">Boarding age used for the 'age at arrival' lines</t>
  </si>
  <si>
    <t xml:space="preserve">Tipler check: rim speed a time-machine cylinder would need</t>
  </si>
  <si>
    <t xml:space="preserve">Tipler (1974): the surface must turn at more than about half the speed of light — and a finite cylinder needs negative energy anyway (Hawking 1992).</t>
  </si>
  <si>
    <t xml:space="preserve">Dust grain mass for the impact line</t>
  </si>
  <si>
    <t xml:space="preserve">mg</t>
  </si>
  <si>
    <t xml:space="preserve">Geometry and cruise</t>
  </si>
  <si>
    <t xml:space="preserve">Radius</t>
  </si>
  <si>
    <t xml:space="preserve">m</t>
  </si>
  <si>
    <t xml:space="preserve">Mass</t>
  </si>
  <si>
    <t xml:space="preserve">kg</t>
  </si>
  <si>
    <t xml:space="preserve">Distance</t>
  </si>
  <si>
    <t xml:space="preserve">light-years</t>
  </si>
  <si>
    <t xml:space="preserve">Cruise speed (distance ÷ journey time)</t>
  </si>
  <si>
    <t xml:space="preserve">m/s</t>
  </si>
  <si>
    <t xml:space="preserve">…in km/s</t>
  </si>
  <si>
    <t xml:space="preserve">km/s</t>
  </si>
  <si>
    <t xml:space="preserve">…as a fraction of c (β)</t>
  </si>
  <si>
    <t xml:space="preserve">About 1% of light speed</t>
  </si>
  <si>
    <t xml:space="preserve">Lorentz factor γ</t>
  </si>
  <si>
    <t xml:space="preserve">Spin gravity and the clocks aboard</t>
  </si>
  <si>
    <t xml:space="preserve">Rim speed for the chosen gravity, √(g r)</t>
  </si>
  <si>
    <t xml:space="preserve">Rotation period</t>
  </si>
  <si>
    <t xml:space="preserve">s</t>
  </si>
  <si>
    <t xml:space="preserve">…in revolutions per minute</t>
  </si>
  <si>
    <t xml:space="preserve">rpm</t>
  </si>
  <si>
    <t xml:space="preserve">Rim clock runs slow relative to the hub by v²/2c²</t>
  </si>
  <si>
    <t xml:space="preserve">fraction</t>
  </si>
  <si>
    <t xml:space="preserve">First-order term of 1 − 1/γ; exact to better than one part in 10¹³ here</t>
  </si>
  <si>
    <t xml:space="preserve">…as nanoseconds per day</t>
  </si>
  <si>
    <t xml:space="preserve">ns/day</t>
  </si>
  <si>
    <t xml:space="preserve">The spoken figure: 'about 14 ns/day'</t>
  </si>
  <si>
    <t xml:space="preserve">…in Greylocks (the project's Massachusetts machine)</t>
  </si>
  <si>
    <t xml:space="preserve">Greylocks</t>
  </si>
  <si>
    <t xml:space="preserve">'A Greylock and a half, built into the floor plan'</t>
  </si>
  <si>
    <t xml:space="preserve">…in Jefferson towers (Pound–Rebka)</t>
  </si>
  <si>
    <t xml:space="preserve">Jeffersons</t>
  </si>
  <si>
    <t xml:space="preserve">A whole lifetime at the rim lags the hub by</t>
  </si>
  <si>
    <t xml:space="preserve">ms</t>
  </si>
  <si>
    <t xml:space="preserve">Life expectancy × rate difference</t>
  </si>
  <si>
    <t xml:space="preserve">Hoop stress at the rim — a self-supporting thin shell carries σ = ρ v²</t>
  </si>
  <si>
    <t xml:space="preserve">Material</t>
  </si>
  <si>
    <t xml:space="preserve">Stress at the rim (MPa)</t>
  </si>
  <si>
    <t xml:space="preserve">Strength (MPa)</t>
  </si>
  <si>
    <t xml:space="preserve">Utilisation (stress ÷ strength)</t>
  </si>
  <si>
    <t xml:space="preserve">σ = ρ v² is the stress in a spinning ring that holds up only itself; anything hung on the shell adds to it. At 1 g and 3 km radius, steel sits near its yield with nobody aboard — the spoken '≈230 MPa'. The stress is ρ g r, so it does not care how fast you spin: only the radius and the material matter.</t>
  </si>
  <si>
    <t xml:space="preserve">Tipler check — rim speed at the Tipler fraction of c</t>
  </si>
  <si>
    <t xml:space="preserve">…hoop stress in steel at that speed, ρ v²</t>
  </si>
  <si>
    <t xml:space="preserve">MPa</t>
  </si>
  <si>
    <t xml:space="preserve">Compare 250 MPa yield. ρv² at near-c is the material's own rest-energy density: nothing holds.</t>
  </si>
  <si>
    <t xml:space="preserve">…÷ the strength of ideal graphene</t>
  </si>
  <si>
    <t xml:space="preserve">×</t>
  </si>
  <si>
    <t xml:space="preserve">Even the strongest material known is short by this factor</t>
  </si>
  <si>
    <t xml:space="preserve">The journey as a time machine</t>
  </si>
  <si>
    <t xml:space="preserve">Ship time for the crossing, T√(1−β²)</t>
  </si>
  <si>
    <t xml:space="preserve">Lead: Earth time − ship time</t>
  </si>
  <si>
    <t xml:space="preserve">…in days (how much younger the passengers step off)</t>
  </si>
  <si>
    <t xml:space="preserve">days</t>
  </si>
  <si>
    <t xml:space="preserve">The spoken figure: 'roughly a week'</t>
  </si>
  <si>
    <t xml:space="preserve">Earth's clock, slowed by the Sun's well at 1 AU: GM☉/(a c²)</t>
  </si>
  <si>
    <t xml:space="preserve">Earth's orbital speed 2π·AU/yr</t>
  </si>
  <si>
    <t xml:space="preserve">…slowing Earth's clock by v²/2c²</t>
  </si>
  <si>
    <t xml:space="preserve">Earth's own well at the surface: GM⊕/(R⊕ c²)</t>
  </si>
  <si>
    <t xml:space="preserve">Total: Earth's clock vs a clock at rest far from the Sun (L_B)</t>
  </si>
  <si>
    <t xml:space="preserve">Should read ≈1.550E-08, the IAU constant L_B relating TCB to TT</t>
  </si>
  <si>
    <t xml:space="preserve">Over the journey, Earth's clock loses</t>
  </si>
  <si>
    <t xml:space="preserve">Climbing out of the Sun's well makes the ship older, not younger — it eats into the lead</t>
  </si>
  <si>
    <t xml:space="preserve">…in minutes</t>
  </si>
  <si>
    <t xml:space="preserve">min</t>
  </si>
  <si>
    <t xml:space="preserve">The spoken figure: 'minus three minutes'</t>
  </si>
  <si>
    <t xml:space="preserve">Net lead on arrival</t>
  </si>
  <si>
    <t xml:space="preserve">Fuel — read by the Nautilus and Vigil sheets</t>
  </si>
  <si>
    <t xml:space="preserve">Total Δv (accelerate to cruise, then brake)</t>
  </si>
  <si>
    <t xml:space="preserve">Mass ratio M₀/M₁ = exp(Δv/vₑ)</t>
  </si>
  <si>
    <t xml:space="preserve">Non-relativistic rocket equation is fine at 1% of c</t>
  </si>
  <si>
    <t xml:space="preserve">Fuel mass for the dry mass above</t>
  </si>
  <si>
    <t xml:space="preserve">…in tonnes</t>
  </si>
  <si>
    <t xml:space="preserve">Nearly a second ship's worth of deuterium and helium-3</t>
  </si>
  <si>
    <t xml:space="preserve">People</t>
  </si>
  <si>
    <t xml:space="preserve">Births per year to hold the population</t>
  </si>
  <si>
    <t xml:space="preserve">per year</t>
  </si>
  <si>
    <t xml:space="preserve">Generations over the journey</t>
  </si>
  <si>
    <t xml:space="preserve">People who will ever live aboard (approx.)</t>
  </si>
  <si>
    <t xml:space="preserve">Founding population plus replacements</t>
  </si>
  <si>
    <t xml:space="preserve">What the ship ploughs through</t>
  </si>
  <si>
    <t xml:space="preserve">Hydrogen swept per m² of nose over the trip, n m_p d</t>
  </si>
  <si>
    <t xml:space="preserve">kg/m²</t>
  </si>
  <si>
    <t xml:space="preserve">Nose area π r²</t>
  </si>
  <si>
    <t xml:space="preserve">m²</t>
  </si>
  <si>
    <t xml:space="preserve">Hydrogen swept by the whole nose</t>
  </si>
  <si>
    <t xml:space="preserve">Two tonnes in four centuries: 'mining en route' is a rounding error</t>
  </si>
  <si>
    <t xml:space="preserve">Dust swept by the nose</t>
  </si>
  <si>
    <t xml:space="preserve">Kinetic energy of one dust grain at cruise, ½mv²</t>
  </si>
  <si>
    <t xml:space="preserve">J</t>
  </si>
  <si>
    <t xml:space="preserve">…in kilograms of TNT</t>
  </si>
  <si>
    <t xml:space="preserve">kg TNT</t>
  </si>
  <si>
    <t xml:space="preserve">A milligram grain at 1% of c hits like a stick of dynamite; this is why the ship needs a bow shield even at Chrysalis speed</t>
  </si>
  <si>
    <t xml:space="preserve">Lead table — how much younger the ship arrives</t>
  </si>
  <si>
    <t xml:space="preserve">Coast rows: constant cruise speed (acceleration phases ignored). Torch rows: constant proper acceleration to the midpoint, flip, brake. Legs = 2 for there-and-back. Lead = Earth time − ship time. Mass ratio uses the relativistic rocket equation M₀/M₁ = exp(φ·c/vₑ) per boost, with one accelerate and one brake per leg. Blue = input, green = link, black = formula. Rows 10–11 are yours to play with.</t>
  </si>
  <si>
    <t xml:space="preserve">Ship</t>
  </si>
  <si>
    <t xml:space="preserve">Mode</t>
  </si>
  <si>
    <t xml:space="preserve">Distance one way (ly)</t>
  </si>
  <si>
    <t xml:space="preserve">Legs</t>
  </si>
  <si>
    <t xml:space="preserve">Cruise speed β (coast)</t>
  </si>
  <si>
    <t xml:space="preserve">Proper accel. (g) (torch)</t>
  </si>
  <si>
    <t xml:space="preserve">Exhaust speed βₑ (× c)</t>
  </si>
  <si>
    <t xml:space="preserve">c/a (years, torch)</t>
  </si>
  <si>
    <t xml:space="preserve">x = a·(d/2)/c² (torch)</t>
  </si>
  <si>
    <t xml:space="preserve">Rapidity φ per boost</t>
  </si>
  <si>
    <t xml:space="preserve">Peak speed β_max</t>
  </si>
  <si>
    <t xml:space="preserve">Peak γ</t>
  </si>
  <si>
    <t xml:space="preserve">Ship time per leg (yr)</t>
  </si>
  <si>
    <t xml:space="preserve">Earth time per leg (yr)</t>
  </si>
  <si>
    <t xml:space="preserve">Ship time total (yr)</t>
  </si>
  <si>
    <t xml:space="preserve">Earth time total (yr)</t>
  </si>
  <si>
    <t xml:space="preserve">Lead (yr)</t>
  </si>
  <si>
    <t xml:space="preserve">Lead, readable</t>
  </si>
  <si>
    <t xml:space="preserve">Boosts</t>
  </si>
  <si>
    <t xml:space="preserve">Mass ratio M₀/M₁</t>
  </si>
  <si>
    <t xml:space="preserve">Fuel per tonne of ship (t)</t>
  </si>
  <si>
    <t xml:space="preserve">Final separation from Earth (ly)</t>
  </si>
  <si>
    <t xml:space="preserve">Light-time Earth↔ship at the end (yr)</t>
  </si>
  <si>
    <t xml:space="preserve">Chrysalis as drawn (~1% c)</t>
  </si>
  <si>
    <t xml:space="preserve">coast</t>
  </si>
  <si>
    <t xml:space="preserve">Fusion pushed to Daedalus speed (0.1 c)</t>
  </si>
  <si>
    <t xml:space="preserve">1 g torch to Proxima</t>
  </si>
  <si>
    <t xml:space="preserve">torch</t>
  </si>
  <si>
    <t xml:space="preserve">1 g, 1,000 ly and back</t>
  </si>
  <si>
    <t xml:space="preserve">1 g to the galactic centre</t>
  </si>
  <si>
    <t xml:space="preserve">Your ship A (torch)</t>
  </si>
  <si>
    <t xml:space="preserve">Your ship B (coast)</t>
  </si>
  <si>
    <t xml:space="preserve">Formulas: torch — x = a(d/2)/c², φ = acosh(1+x), ship time per leg τ = 2(c/a)φ, Earth time per leg t = 2(c/a)sinh φ, β_max = tanh φ, γ_max = 1+x. Coast — φ = atanh β, t = d/v, τ = t/γ. Mass ratio per boost = exp(φ c/vₑ); boosts = 2 per leg.</t>
  </si>
  <si>
    <t xml:space="preserve">βₑ = 1 is a perfect photon rocket (antimatter, perfectly collimated, no waste heat) — the floor on the fuel bill, not an engine anyone has. βₑ = 0.0333 is Daedalus-class fusion.</t>
  </si>
  <si>
    <t xml:space="preserve">The Chrysalis row (as drawn) reads its speed, distance and exhaust from the Chrysalis sheet. 'Legs = 2' leaves the ship back at Earth, which is what turns a Lantern door into a closed timelike curve (see the Lantern sheet).</t>
  </si>
  <si>
    <t xml:space="preserve">A 1 g ship, one way with braking: times vs distance (chart data)</t>
  </si>
  <si>
    <t xml:space="preserve">One-way distance (ly)</t>
  </si>
  <si>
    <t xml:space="preserve">Ship time (yr)</t>
  </si>
  <si>
    <t xml:space="preserve">Earth time (yr)</t>
  </si>
  <si>
    <t xml:space="preserve">Tower — the honest one: the core is the engine</t>
  </si>
  <si>
    <t xml:space="preserve">A time ship in known physics is a dilation ship, and a dilation ship thrusts for most of the trip. Spin gravity gives way to thrust gravity: 'down' is aft, the nested shells become stacked floors, and the ship is a 58-km-tall building standing on its exhaust. Pick a ship from the Lead table in the dropdown; everything below follows it.</t>
  </si>
  <si>
    <t xml:space="preserve">Choose the ship (dropdown) and the assumptions</t>
  </si>
  <si>
    <t xml:space="preserve">Ship (any name from the Lead table)</t>
  </si>
  <si>
    <t xml:space="preserve">Dropdown — rows of the Lead table</t>
  </si>
  <si>
    <t xml:space="preserve">Floor pitch</t>
  </si>
  <si>
    <t xml:space="preserve">Express-lift speed</t>
  </si>
  <si>
    <t xml:space="preserve">Fast skyscraper lifts do ~10 m/s</t>
  </si>
  <si>
    <t xml:space="preserve">Ice: latent heat of sublimation</t>
  </si>
  <si>
    <t xml:space="preserve">J/kg</t>
  </si>
  <si>
    <t xml:space="preserve">≈2.83 MJ/kg; ignores sensible heating from storage temperature, so the ice figures are slightly generous to the ship</t>
  </si>
  <si>
    <t xml:space="preserve">Ship dry mass</t>
  </si>
  <si>
    <t xml:space="preserve">From the Chrysalis sheet</t>
  </si>
  <si>
    <t xml:space="preserve">Nose / footprint radius</t>
  </si>
  <si>
    <t xml:space="preserve">Height of the tower (the ship's length)</t>
  </si>
  <si>
    <t xml:space="preserve">Travellers aboard</t>
  </si>
  <si>
    <t xml:space="preserve">Chrysalis capacity; nobody is born en route</t>
  </si>
  <si>
    <t xml:space="preserve">Launch year</t>
  </si>
  <si>
    <t xml:space="preserve">Boarding age</t>
  </si>
  <si>
    <t xml:space="preserve">Pulled from the Lead table for the chosen ship</t>
  </si>
  <si>
    <t xml:space="preserve">Row index in the Lead table</t>
  </si>
  <si>
    <t xml:space="preserve">Proper acceleration</t>
  </si>
  <si>
    <t xml:space="preserve">Blank for a coast row: the thrust-gravity block below then reads zero</t>
  </si>
  <si>
    <t xml:space="preserve">Distance one way</t>
  </si>
  <si>
    <t xml:space="preserve">ly</t>
  </si>
  <si>
    <t xml:space="preserve">Rapidity per boost φ</t>
  </si>
  <si>
    <t xml:space="preserve">Ship time, total</t>
  </si>
  <si>
    <t xml:space="preserve">Earth time, total</t>
  </si>
  <si>
    <t xml:space="preserve">Lead</t>
  </si>
  <si>
    <t xml:space="preserve">Thrust gravity — the structure is cheap on paper</t>
  </si>
  <si>
    <t xml:space="preserve">Acceleration</t>
  </si>
  <si>
    <t xml:space="preserve">m/s²</t>
  </si>
  <si>
    <t xml:space="preserve">Ship's weight under thrust, M·a (= the thrust at dry mass)</t>
  </si>
  <si>
    <t xml:space="preserve">N</t>
  </si>
  <si>
    <t xml:space="preserve">The spoken figure: 2.4×10¹³ N at 1 g</t>
  </si>
  <si>
    <t xml:space="preserve">Footprint π r²</t>
  </si>
  <si>
    <t xml:space="preserve">Pressure on the base</t>
  </si>
  <si>
    <t xml:space="preserve">Pa</t>
  </si>
  <si>
    <t xml:space="preserve">…in MPa</t>
  </si>
  <si>
    <t xml:space="preserve">Under 1 MPa: the spoken 'less than a bike tyre'</t>
  </si>
  <si>
    <t xml:space="preserve">…in road-bike tyres</t>
  </si>
  <si>
    <t xml:space="preserve">tyres</t>
  </si>
  <si>
    <t xml:space="preserve">…as a fraction of steel's yield strength</t>
  </si>
  <si>
    <t xml:space="preserve">If the whole base were a solid steel plate; the hard part is funnelling the thrust into one engine, not holding the building up</t>
  </si>
  <si>
    <t xml:space="preserve">The engine — a perfect photon rocket (the floor on the bill)</t>
  </si>
  <si>
    <t xml:space="preserve">Thrust needed at departure, fully fuelled: M₀·a</t>
  </si>
  <si>
    <t xml:space="preserve">Radiated power at dry mass, F·c</t>
  </si>
  <si>
    <t xml:space="preserve">W</t>
  </si>
  <si>
    <t xml:space="preserve">The spoken figure: 7×10²¹ W</t>
  </si>
  <si>
    <t xml:space="preserve">Radiated power at departure, fully fuelled</t>
  </si>
  <si>
    <t xml:space="preserve">Dry-mass power as a fraction of the Sun</t>
  </si>
  <si>
    <t xml:space="preserve">…i.e. one Sun per</t>
  </si>
  <si>
    <t xml:space="preserve">ships</t>
  </si>
  <si>
    <t xml:space="preserve">The spoken 'a fifty-thousandth of a Sun'</t>
  </si>
  <si>
    <t xml:space="preserve">At departure, one Sun per</t>
  </si>
  <si>
    <t xml:space="preserve">Fuel mass for the chosen ship, (M₀/M₁ − 1) × dry mass</t>
  </si>
  <si>
    <t xml:space="preserve">'~40 tonnes of fuel per tonne of ship' for the Proxima torch</t>
  </si>
  <si>
    <t xml:space="preserve">Living in a tower</t>
  </si>
  <si>
    <t xml:space="preserve">Floors, if the whole length were floors</t>
  </si>
  <si>
    <t xml:space="preserve">floors</t>
  </si>
  <si>
    <t xml:space="preserve">Express lift, stern to prow</t>
  </si>
  <si>
    <t xml:space="preserve">minutes</t>
  </si>
  <si>
    <t xml:space="preserve">Clock gradient, prow vs stern: a·L/c² (equivalence principle)</t>
  </si>
  <si>
    <t xml:space="preserve">Pound–Rebka scaled up: the prow ages faster than the stern</t>
  </si>
  <si>
    <t xml:space="preserve">…as microseconds per day</t>
  </si>
  <si>
    <t xml:space="preserve">µs/day</t>
  </si>
  <si>
    <t xml:space="preserve">…in Greylocks</t>
  </si>
  <si>
    <t xml:space="preserve">…in Jefferson towers</t>
  </si>
  <si>
    <t xml:space="preserve">Over the whole trip, the prow runs ahead of the stern by</t>
  </si>
  <si>
    <t xml:space="preserve">Only while thrusting; a coast row gives zero</t>
  </si>
  <si>
    <t xml:space="preserve">The prow — interstellar hydrogen as a particle beam (and why a glacier won't do)</t>
  </si>
  <si>
    <t xml:space="preserve">Interstellar hydrogen density</t>
  </si>
  <si>
    <t xml:space="preserve">cm⁻³</t>
  </si>
  <si>
    <t xml:space="preserve">Constants sheet (edit there)</t>
  </si>
  <si>
    <t xml:space="preserve">Prow radius facing the stream</t>
  </si>
  <si>
    <t xml:space="preserve">Defaults to the ship's radius (the tower's top face). Overwrite with a smaller number to try a needle prow.</t>
  </si>
  <si>
    <t xml:space="preserve">Prow area π r²</t>
  </si>
  <si>
    <t xml:space="preserve">Tungsten melting point</t>
  </si>
  <si>
    <t xml:space="preserve">K</t>
  </si>
  <si>
    <t xml:space="preserve">For the refractory-bow check</t>
  </si>
  <si>
    <t xml:space="preserve">Carbon sublimation point</t>
  </si>
  <si>
    <t xml:space="preserve">At 1 atm; lower in vacuum</t>
  </si>
  <si>
    <t xml:space="preserve">Proton kinetic energy at peak speed, (γ−1) m_p c²</t>
  </si>
  <si>
    <t xml:space="preserve">GeV</t>
  </si>
  <si>
    <t xml:space="preserve">The spoken '2-GeV protons' at 0.95 c</t>
  </si>
  <si>
    <t xml:space="preserve">Peak energy flux on the nose, γ n β c (γ−1) m_p c²</t>
  </si>
  <si>
    <t xml:space="preserve">W/m²</t>
  </si>
  <si>
    <t xml:space="preserve">Density in the ship's frame is γn (length contraction). The spoken '~100 kW/m²' left out that γ: the right figure is nearer 300 kW/m².</t>
  </si>
  <si>
    <t xml:space="preserve">…in kW/m²</t>
  </si>
  <si>
    <t xml:space="preserve">kW/m²</t>
  </si>
  <si>
    <t xml:space="preserve">Black-body temperature that re-radiates the peak flux</t>
  </si>
  <si>
    <t xml:space="preserve">Ice cannot sit at this temperature, so an ice prow is spent, not cooled; a refractory plate glowing at this temperature radiates the load back out</t>
  </si>
  <si>
    <t xml:space="preserve">Refractory bow check</t>
  </si>
  <si>
    <t xml:space="preserve">2-GeV protons shower through about a metre of material (nuclear interaction length in water ≈ 0.83 m), so the bow is a thick plate heated throughout, not a skin — and the crew need a radiation shield behind it</t>
  </si>
  <si>
    <t xml:space="preserve">Energy deposited per m² per leg, n m_p c² ∫(γ−1)dx</t>
  </si>
  <si>
    <t xml:space="preserve">J/m²</t>
  </si>
  <si>
    <t xml:space="preserve">Torch: γ−1 = ax/c² on each half, so the integral is a d²/4c². Coast: (γ−1) is constant.</t>
  </si>
  <si>
    <t xml:space="preserve">…for all legs</t>
  </si>
  <si>
    <t xml:space="preserve">Energy into the whole prow</t>
  </si>
  <si>
    <t xml:space="preserve">Ice spent if every joule sublimates ice (the sacrificial-glacier bound)</t>
  </si>
  <si>
    <t xml:space="preserve">…in gigatonnes</t>
  </si>
  <si>
    <t xml:space="preserve">Gt</t>
  </si>
  <si>
    <t xml:space="preserve">The spoken '~30 Mt of ice' was wrong by three orders of magnitude: a full-width ice prow at n = 1 cm⁻³ needs tens of gigatonnes</t>
  </si>
  <si>
    <t xml:space="preserve">…in ships' worth of mass</t>
  </si>
  <si>
    <t xml:space="preserve">So the prow cannot be a glacier: it must be a narrow needle, a refractory radiator (above), a magnetic deflector, or all three</t>
  </si>
  <si>
    <t xml:space="preserve">…as a slab of ice over the prow</t>
  </si>
  <si>
    <t xml:space="preserve">km thick</t>
  </si>
  <si>
    <t xml:space="preserve">Ice density 917 kg/m³</t>
  </si>
  <si>
    <t xml:space="preserve">…per traveller</t>
  </si>
  <si>
    <t xml:space="preserve">tonnes each</t>
  </si>
  <si>
    <t xml:space="preserve">Hydrogen mass swept per m² over all legs</t>
  </si>
  <si>
    <t xml:space="preserve">Tiny — it is the energy, not the mass, that erodes the prow</t>
  </si>
  <si>
    <t xml:space="preserve">The crew are the travellers</t>
  </si>
  <si>
    <t xml:space="preserve">Years aboard (ship time)</t>
  </si>
  <si>
    <t xml:space="preserve">Age at arrival, boarding at the boarding age</t>
  </si>
  <si>
    <t xml:space="preserve">Earth calendar on arrival</t>
  </si>
  <si>
    <t xml:space="preserve">How far the crew have outrun Earth's calendar</t>
  </si>
  <si>
    <t xml:space="preserve">No mission control waits at the far end: the ship carries its own Earth</t>
  </si>
  <si>
    <t xml:space="preserve">Lantern — the door: the core is a wormhole mouth</t>
  </si>
  <si>
    <t xml:space="preserve">The one backward route general relativity allows on paper (Morris, Thorne &amp; Yurtsever 1988): hold a throat open with negative energy, leave one mouth at the Earth–Moon L1 yard where the ship is assembled, carry the other in the hub where Chrysalis keeps its comms. The throat keeps the two mouths in step by proper time, so every day of lead the ship banks becomes a day the door opens into the past.</t>
  </si>
  <si>
    <t xml:space="preserve">Inputs</t>
  </si>
  <si>
    <t xml:space="preserve">Throat radius (a person-sized door)</t>
  </si>
  <si>
    <t xml:space="preserve">Ship carrying the far mouth (dropdown)</t>
  </si>
  <si>
    <t xml:space="preserve">Any name from the Lead table</t>
  </si>
  <si>
    <t xml:space="preserve">Home mouth stays at</t>
  </si>
  <si>
    <t xml:space="preserve">Earth–Moon L1 assembly yard</t>
  </si>
  <si>
    <t xml:space="preserve">Where Chrysalis is built (Interesting Engineering)</t>
  </si>
  <si>
    <t xml:space="preserve">The bill nobody can pay</t>
  </si>
  <si>
    <t xml:space="preserve">Negative mass needed, of order c²·r/G</t>
  </si>
  <si>
    <t xml:space="preserve">kg (negative)</t>
  </si>
  <si>
    <t xml:space="preserve">Order-of-magnitude for a Morris–Thorne throat: |M| ~ c² r / G. Quantum field theory allows negative energy only in tiny, fleeting amounts.</t>
  </si>
  <si>
    <t xml:space="preserve">…in Jupiter masses</t>
  </si>
  <si>
    <t xml:space="preserve">Jupiters</t>
  </si>
  <si>
    <t xml:space="preserve">The spoken 'a Jupiter per metre of throat'</t>
  </si>
  <si>
    <t xml:space="preserve">…in Earth masses</t>
  </si>
  <si>
    <t xml:space="preserve">Earths</t>
  </si>
  <si>
    <t xml:space="preserve">Per metre of throat radius</t>
  </si>
  <si>
    <t xml:space="preserve">Jupiters/m</t>
  </si>
  <si>
    <t xml:space="preserve">How deep the door goes — for the chosen ship</t>
  </si>
  <si>
    <t xml:space="preserve">Lead banked by the ship (Earth time − ship time)</t>
  </si>
  <si>
    <t xml:space="preserve">…readable</t>
  </si>
  <si>
    <t xml:space="preserve">Step into the ship's mouth and you come out of the home mouth this much earlier in Earth's calendar — after the ship left, never before</t>
  </si>
  <si>
    <t xml:space="preserve">Separation of the mouths at the end</t>
  </si>
  <si>
    <t xml:space="preserve">Light-time between the mouths through ordinary space</t>
  </si>
  <si>
    <t xml:space="preserve">A radio message takes this long; the door takes no time at all</t>
  </si>
  <si>
    <t xml:space="preserve">Safety margin: light-time − lead</t>
  </si>
  <si>
    <t xml:space="preserve">Positive: no closed timelike curve can form. Negative: the door plus a light-speed trip back closes a loop in time.</t>
  </si>
  <si>
    <t xml:space="preserve">Chronology status</t>
  </si>
  <si>
    <t xml:space="preserve">Keeping the lag shorter than the light-time between the mouths is the built-in speed limit (Morris–Thorne–Yurtsever 1988; Hawking 1992)</t>
  </si>
  <si>
    <t xml:space="preserve">Deepest safe door for this separation</t>
  </si>
  <si>
    <t xml:space="preserve">Equal to the light-time; any deeper and a loop closes</t>
  </si>
  <si>
    <t xml:space="preserve">All seven ships at once</t>
  </si>
  <si>
    <t xml:space="preserve">Door depth (yr)</t>
  </si>
  <si>
    <t xml:space="preserve">Light-time (yr)</t>
  </si>
  <si>
    <t xml:space="preserve">Verdict</t>
  </si>
  <si>
    <t xml:space="preserve">Chrysalis as drawn with a wormhole in the hold is a door eight days into the past; the 1 g Proxima version is a door 2.3 years deep. The 1,000-ly round trip brings the mouth home with a two-millennium lag and zero separation — the textbook wormhole time machine, and exactly where chronology protection says the vacuum blows up.</t>
  </si>
  <si>
    <t xml:space="preserve">What it does to a generation ship: it deletes the one thing that defines one — isolation — and replaces it with something stranger. You can go home whenever you like, but home is always a little in the past.</t>
  </si>
  <si>
    <t xml:space="preserve">Nautilus — time as cargo: the core is an archive</t>
  </si>
  <si>
    <t xml:space="preserve">No new physics. Chrysalis nests its shells in space; Nautilus nests them in time. Each generation builds the next chamber onto the axis and seals the one it grew up in exactly as it was lived, so the ship arrives longer than it left — a line of sealed eras you can walk back through.</t>
  </si>
  <si>
    <t xml:space="preserve">Wished-for chamber length per generation</t>
  </si>
  <si>
    <t xml:space="preserve">Empty tankage mass per kg of fuel it held</t>
  </si>
  <si>
    <t xml:space="preserve">kg/kg</t>
  </si>
  <si>
    <t xml:space="preserve">Cryogenic tanks run ~5–10% of the propellant mass; this is the 'slag' the chambers are built from</t>
  </si>
  <si>
    <t xml:space="preserve">Radius of the archive ring (sealed chambers sit inboard of the living rim)</t>
  </si>
  <si>
    <t xml:space="preserve">Chrysalis sheet</t>
  </si>
  <si>
    <t xml:space="preserve">Journey</t>
  </si>
  <si>
    <t xml:space="preserve">Ship length at launch</t>
  </si>
  <si>
    <t xml:space="preserve">Rim radius</t>
  </si>
  <si>
    <t xml:space="preserve">Rim speed</t>
  </si>
  <si>
    <t xml:space="preserve">Rim gravity</t>
  </si>
  <si>
    <t xml:space="preserve">Fuel mass burned on the way</t>
  </si>
  <si>
    <t xml:space="preserve">Everything the nose sweeps up in the whole crossing (gas + dust)</t>
  </si>
  <si>
    <t xml:space="preserve">'Whatever it mines en route' is this: a rounding error. The building stock has to be the ship's own spent tankage.</t>
  </si>
  <si>
    <t xml:space="preserve">Growing the ship</t>
  </si>
  <si>
    <t xml:space="preserve">Sealed chambers at arrival</t>
  </si>
  <si>
    <t xml:space="preserve">Hull mass per metre of ship, as built</t>
  </si>
  <si>
    <t xml:space="preserve">kg/m</t>
  </si>
  <si>
    <t xml:space="preserve">Mass of one wished-for chamber</t>
  </si>
  <si>
    <t xml:space="preserve">…for all chambers</t>
  </si>
  <si>
    <t xml:space="preserve">Length added by arrival</t>
  </si>
  <si>
    <t xml:space="preserve">Length at arrival</t>
  </si>
  <si>
    <t xml:space="preserve">The ship arrives longer than it left</t>
  </si>
  <si>
    <t xml:space="preserve">Growth</t>
  </si>
  <si>
    <t xml:space="preserve">Building stock: spent tankage</t>
  </si>
  <si>
    <t xml:space="preserve">Share of the wished-for chambers the stock can build</t>
  </si>
  <si>
    <t xml:space="preserve">Below 100%, the chambers must be shorter or thinner-walled than the original hull</t>
  </si>
  <si>
    <t xml:space="preserve">Affordable chamber length per generation, built like the hull</t>
  </si>
  <si>
    <t xml:space="preserve">…total archive length at arrival</t>
  </si>
  <si>
    <t xml:space="preserve">Walking back through time</t>
  </si>
  <si>
    <t xml:space="preserve">Metres of ship per year of history (wished-for chambers)</t>
  </si>
  <si>
    <t xml:space="preserve">m/yr</t>
  </si>
  <si>
    <t xml:space="preserve">…centimetres per day</t>
  </si>
  <si>
    <t xml:space="preserve">cm/day</t>
  </si>
  <si>
    <t xml:space="preserve">Walk from the newest chamber to year 0</t>
  </si>
  <si>
    <t xml:space="preserve">Same walk with the affordable chambers</t>
  </si>
  <si>
    <t xml:space="preserve">Spin balance as it grows</t>
  </si>
  <si>
    <t xml:space="preserve">Energy to spin up one chamber to rim speed, ½mv²</t>
  </si>
  <si>
    <t xml:space="preserve">…in GWh</t>
  </si>
  <si>
    <t xml:space="preserve">GWh</t>
  </si>
  <si>
    <t xml:space="preserve">About a day of a large power station per chamber</t>
  </si>
  <si>
    <t xml:space="preserve">Rim gravity if a chamber is bolted on without spinning it up</t>
  </si>
  <si>
    <t xml:space="preserve">Angular momentum conserved, thin-shell approximation: ω falls, and g at the rim falls with ω²</t>
  </si>
  <si>
    <t xml:space="preserve">Centre of mass</t>
  </si>
  <si>
    <t xml:space="preserve">Chambers must be added at the axis or in matched pairs, or the spin axis wanders</t>
  </si>
  <si>
    <t xml:space="preserve">Each era keeps its own clock</t>
  </si>
  <si>
    <t xml:space="preserve">Speed of the archive ring</t>
  </si>
  <si>
    <t xml:space="preserve">Archive clock runs fast relative to the living rim by (v_rim² − v_arch²)/2c²</t>
  </si>
  <si>
    <t xml:space="preserve">…nanoseconds per day</t>
  </si>
  <si>
    <t xml:space="preserve">A chamber sealed in year 0 and opened on arrival has run ahead by</t>
  </si>
  <si>
    <t xml:space="preserve">Measurable with the project's own cesium clocks</t>
  </si>
  <si>
    <t xml:space="preserve">The engineering problem is a civil one — a structure that must stay balanced while it grows and spins — and the social one is deciding what a generation is allowed to leave out. It inverts the old trope of the crew who forget they are on a ship: the ship remembers so the people don't have to.</t>
  </si>
  <si>
    <t xml:space="preserve">Vigil — pupation: the core is a vault</t>
  </si>
  <si>
    <t xml:space="preserve">The slowest time machine: sleep through it. Everyone Chrysalis can carry goes into cold storage (the one piece of technology here that nobody has) and the ship is tended by a small watch at a time. The watch roster is the ship's calendar.</t>
  </si>
  <si>
    <t xml:space="preserve">People aboard</t>
  </si>
  <si>
    <t xml:space="preserve">Chrysalis capacity</t>
  </si>
  <si>
    <t xml:space="preserve">Awake at any one time</t>
  </si>
  <si>
    <t xml:space="preserve">Watch length</t>
  </si>
  <si>
    <t xml:space="preserve">Volume per storage pod</t>
  </si>
  <si>
    <t xml:space="preserve">m³</t>
  </si>
  <si>
    <t xml:space="preserve">Holding power per pod</t>
  </si>
  <si>
    <t xml:space="preserve">Assumption — cryostat losses plus monitoring</t>
  </si>
  <si>
    <t xml:space="preserve">Pressurised volume per awake person (quarters, farms, commons)</t>
  </si>
  <si>
    <t xml:space="preserve">Share of the ship's dry mass that scales with pressurised volume</t>
  </si>
  <si>
    <t xml:space="preserve">Fuel mass</t>
  </si>
  <si>
    <t xml:space="preserve">Exhaust velocity</t>
  </si>
  <si>
    <t xml:space="preserve">Relativistic lead of Chrysalis as drawn</t>
  </si>
  <si>
    <t xml:space="preserve">Lead table, row 5</t>
  </si>
  <si>
    <t xml:space="preserve">The roster arithmetic</t>
  </si>
  <si>
    <t xml:space="preserve">Watches over the journey</t>
  </si>
  <si>
    <t xml:space="preserve">Person-watches available</t>
  </si>
  <si>
    <t xml:space="preserve">Watches per person</t>
  </si>
  <si>
    <t xml:space="preserve">Exactly 1 with the defaults: everyone serves once — 'one decade awake, thirty-nine asleep'</t>
  </si>
  <si>
    <t xml:space="preserve">Years awake per person</t>
  </si>
  <si>
    <t xml:space="preserve">Years asleep per person</t>
  </si>
  <si>
    <t xml:space="preserve">This is the time machine: the sleep is the jump</t>
  </si>
  <si>
    <t xml:space="preserve">Fraction of the people awake</t>
  </si>
  <si>
    <t xml:space="preserve">Biological age at arrival (if storage halts ageing)</t>
  </si>
  <si>
    <t xml:space="preserve">Calendar age at arrival</t>
  </si>
  <si>
    <t xml:space="preserve">Pods occupied at any time</t>
  </si>
  <si>
    <t xml:space="preserve">pods</t>
  </si>
  <si>
    <t xml:space="preserve">Pod volume, total</t>
  </si>
  <si>
    <t xml:space="preserve">Holding power, total</t>
  </si>
  <si>
    <t xml:space="preserve">kW</t>
  </si>
  <si>
    <t xml:space="preserve">Trivial beside a fusion plant; the hard part is the biology, not the power</t>
  </si>
  <si>
    <t xml:space="preserve">Less mass awake means faster — same fuel, lighter ship</t>
  </si>
  <si>
    <t xml:space="preserve">Pressurised volume needed, Vigil</t>
  </si>
  <si>
    <t xml:space="preserve">Pressurised volume needed, everyone awake</t>
  </si>
  <si>
    <t xml:space="preserve">Ratio</t>
  </si>
  <si>
    <t xml:space="preserve">Dry mass of the Vigil ship</t>
  </si>
  <si>
    <t xml:space="preserve">Δv with the same fuel, vₑ·ln(M₀/M₁)</t>
  </si>
  <si>
    <t xml:space="preserve">Cruise speed (half the Δv goes to braking)</t>
  </si>
  <si>
    <t xml:space="preserve">…as a fraction of c</t>
  </si>
  <si>
    <t xml:space="preserve">Journey time</t>
  </si>
  <si>
    <t xml:space="preserve">Years saved against Chrysalis as drawn</t>
  </si>
  <si>
    <t xml:space="preserve">Modest: fuel, not habitat, is what a fusion ship is mostly made of. The chrysalis stops being a metaphor; the speed-up is a bonus.</t>
  </si>
  <si>
    <t xml:space="preserve">The watch roster — the ship's calendar</t>
  </si>
  <si>
    <t xml:space="preserve">Watch</t>
  </si>
  <si>
    <t xml:space="preserve">Mission year (start → end)</t>
  </si>
  <si>
    <t xml:space="preserve">Earth calendar at wake</t>
  </si>
  <si>
    <t xml:space="preserve">Who is awake</t>
  </si>
  <si>
    <t xml:space="preserve">Rows beyond the computed number of watches go blank; the table holds up to 40 watches. The human problem is Rip Van Winkle run in reverse: each watch is a different century's people, and the sleepers wake as strangers to those who kept them.</t>
  </si>
  <si>
    <t xml:space="preserve">Constants and shared assumptions</t>
  </si>
  <si>
    <t xml:space="preserve">Physical constants (fixed) and the handful of shared assumptions every other sheet reads. Blue = input you can edit; yellow = an assumption worth questioning; black = formula.</t>
  </si>
  <si>
    <t xml:space="preserve">Physical constants</t>
  </si>
  <si>
    <t xml:space="preserve">Speed of light c</t>
  </si>
  <si>
    <t xml:space="preserve">SI exact value</t>
  </si>
  <si>
    <t xml:space="preserve">Standard gravity g₀</t>
  </si>
  <si>
    <t xml:space="preserve">CGPM 1901 definition</t>
  </si>
  <si>
    <t xml:space="preserve">Gravitational constant G</t>
  </si>
  <si>
    <t xml:space="preserve">m³ kg⁻¹ s⁻²</t>
  </si>
  <si>
    <t xml:space="preserve">CODATA 2018</t>
  </si>
  <si>
    <t xml:space="preserve">Julian year</t>
  </si>
  <si>
    <t xml:space="preserve">IAU: 365.25 days of 86,400 s</t>
  </si>
  <si>
    <t xml:space="preserve">Day</t>
  </si>
  <si>
    <t xml:space="preserve">Light-year</t>
  </si>
  <si>
    <t xml:space="preserve">c × Julian year (IAU definition)</t>
  </si>
  <si>
    <t xml:space="preserve">Astronomical unit</t>
  </si>
  <si>
    <t xml:space="preserve">IAU 2012 definition</t>
  </si>
  <si>
    <t xml:space="preserve">GM of the Sun</t>
  </si>
  <si>
    <t xml:space="preserve">m³/s²</t>
  </si>
  <si>
    <t xml:space="preserve">IAU 2015 nominal solar mass parameter</t>
  </si>
  <si>
    <t xml:space="preserve">GM of the Earth</t>
  </si>
  <si>
    <t xml:space="preserve">IAU 2015 nominal</t>
  </si>
  <si>
    <t xml:space="preserve">Earth equatorial radius</t>
  </si>
  <si>
    <t xml:space="preserve">Earth mass</t>
  </si>
  <si>
    <t xml:space="preserve">NASA planetary fact sheet</t>
  </si>
  <si>
    <t xml:space="preserve">Jupiter mass</t>
  </si>
  <si>
    <t xml:space="preserve">Solar luminosity</t>
  </si>
  <si>
    <t xml:space="preserve">Proton mass</t>
  </si>
  <si>
    <t xml:space="preserve">Electron-volt</t>
  </si>
  <si>
    <t xml:space="preserve">Proton rest energy m_p c²</t>
  </si>
  <si>
    <t xml:space="preserve">…in MeV</t>
  </si>
  <si>
    <t xml:space="preserve">MeV</t>
  </si>
  <si>
    <t xml:space="preserve">Should read 938.27</t>
  </si>
  <si>
    <t xml:space="preserve">Stefan–Boltzmann constant σ</t>
  </si>
  <si>
    <t xml:space="preserve">W m⁻² K⁻⁴</t>
  </si>
  <si>
    <t xml:space="preserve">TNT equivalent</t>
  </si>
  <si>
    <t xml:space="preserve">Convention: 1 kg TNT = 4.184 MJ</t>
  </si>
  <si>
    <t xml:space="preserve">Shared assumptions (edit these)</t>
  </si>
  <si>
    <t xml:space="preserve">Interstellar hydrogen density n</t>
  </si>
  <si>
    <t xml:space="preserve">atoms/cm³</t>
  </si>
  <si>
    <t xml:space="preserve">Conservative. The Local Interstellar Cloud the Sun sits in is ~0.2 cm⁻³; set 0.2 for the optimistic case. Used by the Chrysalis, Tower and Nautilus sheets.</t>
  </si>
  <si>
    <t xml:space="preserve">Dust-to-gas mass ratio in the ISM</t>
  </si>
  <si>
    <t xml:space="preserve">Standard interstellar value (~1%)</t>
  </si>
  <si>
    <t xml:space="preserve">Road-bike tyre pressure (for scale)</t>
  </si>
  <si>
    <t xml:space="preserve">≈100 psi</t>
  </si>
  <si>
    <t xml:space="preserve">The project's own clocks, for scale</t>
  </si>
  <si>
    <t xml:space="preserve">Mount Greylock summit height</t>
  </si>
  <si>
    <t xml:space="preserve">m (NAVD88)</t>
  </si>
  <si>
    <t xml:space="preserve">The Greylock Time Machine design (claude/greylock-time-machine.md)</t>
  </si>
  <si>
    <t xml:space="preserve">Cambridge home-station height</t>
  </si>
  <si>
    <t xml:space="preserve">Same design note</t>
  </si>
  <si>
    <t xml:space="preserve">Harvard Jefferson tower (Pound–Rebka 1959)</t>
  </si>
  <si>
    <t xml:space="preserve">First laboratory measurement of gravitational time dilation</t>
  </si>
  <si>
    <t xml:space="preserve">Greylock rate difference g₀Δh/c²</t>
  </si>
  <si>
    <t xml:space="preserve">Should read 1.153E-13 — the design note's figure</t>
  </si>
  <si>
    <t xml:space="preserve">…as nanoseconds per day (one 'Greylock')</t>
  </si>
  <si>
    <t xml:space="preserve">Should read 9.96 ns/day</t>
  </si>
  <si>
    <t xml:space="preserve">Jefferson-tower rate difference g₀h/c²</t>
  </si>
  <si>
    <t xml:space="preserve">…as nanoseconds per day (one 'Jefferson')</t>
  </si>
  <si>
    <t xml:space="preserve">Should read 0.21 ns/day</t>
  </si>
  <si>
    <t xml:space="preserve">Materials for the hoop-stress check</t>
  </si>
  <si>
    <t xml:space="preserve">Density (kg/m³)</t>
  </si>
  <si>
    <t xml:space="preserve">Note</t>
  </si>
  <si>
    <t xml:space="preserve">Structural steel (A36)</t>
  </si>
  <si>
    <t xml:space="preserve">Yield strength</t>
  </si>
  <si>
    <t xml:space="preserve">Aluminium 6061-T6</t>
  </si>
  <si>
    <t xml:space="preserve">Carbon-fibre laminate (unidirectional, fibre direction)</t>
  </si>
  <si>
    <t xml:space="preserve">Tensile, fibre direction only — a hoop wound from it</t>
  </si>
  <si>
    <t xml:space="preserve">Graphene (ideal single sheet)</t>
  </si>
  <si>
    <t xml:space="preserve">Intrinsic strength (Lee et al., Science 2008) — a ceiling, not a stock material</t>
  </si>
  <si>
    <t xml:space="preserve">Added for the second wing (9 Oct 2026)</t>
  </si>
  <si>
    <t xml:space="preserve">Planck constant h</t>
  </si>
  <si>
    <t xml:space="preserve">J·s</t>
  </si>
  <si>
    <t xml:space="preserve">Solar radius R☉</t>
  </si>
  <si>
    <t xml:space="preserve">Blackbody temperature at 1 AU (zero albedo)</t>
  </si>
  <si>
    <t xml:space="preserve">T(r) = 279 K / √(r/AU): isothermal-sphere blackbody equilibrium, zero albedo (L☉/(16πσd²))^¼; a flat sun-facing plate runs 2^¼–4^¼ hotter</t>
  </si>
  <si>
    <t xml:space="preserve">Pendulum — the ferry: the core is a return engine</t>
  </si>
  <si>
    <t xml:space="preserve">The ship that never arrives. It swings out at 1 g, turns, and comes home; whoever rides a swing steps off into Earth's future by the lead of that cycle. Chrysalis's shells become the terminal building and the core is an engine that always points home. Known physics end to end — the fare is the fuel.</t>
  </si>
  <si>
    <t xml:space="preserve">Thrust gravity for the riders; 1 g keeps the terminal floors honest</t>
  </si>
  <si>
    <t xml:space="preserve">Years aboard per round trip (proper)</t>
  </si>
  <si>
    <t xml:space="preserve">Four equal phases: out-accel, out-brake, home-accel, home-brake — τ/4 each</t>
  </si>
  <si>
    <t xml:space="preserve">Cycles before refit</t>
  </si>
  <si>
    <t xml:space="preserve">cycles</t>
  </si>
  <si>
    <t xml:space="preserve">Exhaust speed βₑ</t>
  </si>
  <si>
    <t xml:space="preserve">βₑ = 1 is the perfect photon rocket — the floor on the fare, not an engine anyone has (Lead table note)</t>
  </si>
  <si>
    <t xml:space="preserve">Dry mass per rider</t>
  </si>
  <si>
    <t xml:space="preserve">t</t>
  </si>
  <si>
    <t xml:space="preserve">Chrysalis: 2.4 Gt / 2,400 people — a million tonnes of ship per rider</t>
  </si>
  <si>
    <t xml:space="preserve">One swing of the pendulum</t>
  </si>
  <si>
    <t xml:space="preserve">c/a</t>
  </si>
  <si>
    <t xml:space="preserve">Rapidity per phase, φ = (τ/4)/(c/a)</t>
  </si>
  <si>
    <t xml:space="preserve">Peak speed, tanh φ</t>
  </si>
  <si>
    <t xml:space="preserve">Furthest reach, 2(c/a)(cosh φ − 1)</t>
  </si>
  <si>
    <t xml:space="preserve">c²/a in light-years equals c/a in years</t>
  </si>
  <si>
    <t xml:space="preserve">Earth time per cycle, 4(c/a)·sinh φ</t>
  </si>
  <si>
    <t xml:space="preserve">Lead per cycle</t>
  </si>
  <si>
    <t xml:space="preserve">What one ticket buys</t>
  </si>
  <si>
    <t xml:space="preserve">Mass ratio per cycle, exp(4φ/βₑ)</t>
  </si>
  <si>
    <t xml:space="preserve">Four boosts of φ each; the relativistic rocket equation at its least merciful</t>
  </si>
  <si>
    <t xml:space="preserve">Fuel per tonne of ship per cycle</t>
  </si>
  <si>
    <t xml:space="preserve">Fuel per rider per cycle</t>
  </si>
  <si>
    <t xml:space="preserve">The fare in perfect-photon propellant</t>
  </si>
  <si>
    <t xml:space="preserve">Fuel per rider per year of lead</t>
  </si>
  <si>
    <t xml:space="preserve">t/yr</t>
  </si>
  <si>
    <t xml:space="preserve">The ferry's price list: tonnes of fuel per year of future delivered</t>
  </si>
  <si>
    <t xml:space="preserve">The timetable</t>
  </si>
  <si>
    <t xml:space="preserve">Cycle</t>
  </si>
  <si>
    <t xml:space="preserve">Ship clock at return (yr aboard)</t>
  </si>
  <si>
    <t xml:space="preserve">Earth calendar at return</t>
  </si>
  <si>
    <t xml:space="preserve">Cumulative lead</t>
  </si>
  <si>
    <t xml:space="preserve">The arithmetic is brutal and honest: a ten-year ride returns fifteen Earth-years later for a mass ratio of thirty thousand — the Pendulum is the Tower with a return ticket, and the fare is why nobody runs a ferry to the future at 1 g. Short swings are nearly free (a two-year ride leads by a month) because the lead grows as sinh; the Vigil sheet sells the same future for the price of a nap. One redemption: with a Lantern mouth at each terminal the Pendulum stops being a ferry and becomes a subway.</t>
  </si>
  <si>
    <t xml:space="preserve">Moult — the ship that sheds its shells</t>
  </si>
  <si>
    <t xml:space="preserve">Chrysalis in reverse: instead of growing chambers (Nautilus), the ship jettisons each emptied shell as its people move inward or go under (Vigil), so the hull it must brake at Proxima is lighter than the hull it launched. Same fuel, same engine — the shed mass converts into cruise speed. No new physics; the quadratic below is the rocket equation with a lighter second burn.</t>
  </si>
  <si>
    <t xml:space="preserve">Fraction of dry mass moulted before the brake</t>
  </si>
  <si>
    <t xml:space="preserve">Emptied shells, spent factories, outgrown nurseries — cast off after the burn out, before the brake</t>
  </si>
  <si>
    <t xml:space="preserve">Dry mass at launch</t>
  </si>
  <si>
    <t xml:space="preserve">Fuel</t>
  </si>
  <si>
    <t xml:space="preserve">The Chrysalis sheet's own fuel load</t>
  </si>
  <si>
    <t xml:space="preserve">Two burns with a moult between</t>
  </si>
  <si>
    <t xml:space="preserve">Dry mass at the brake</t>
  </si>
  <si>
    <t xml:space="preserve">X = e^(v/vₑ), root of M₁′X² + (M₀ − M₁′)X − (M₀ + F) = 0</t>
  </si>
  <si>
    <t xml:space="preserve">Accelerate at full mass, brake at moulted mass, same total fuel</t>
  </si>
  <si>
    <t xml:space="preserve">Cruise speed</t>
  </si>
  <si>
    <t xml:space="preserve">Years saved vs Chrysalis as drawn</t>
  </si>
  <si>
    <t xml:space="preserve">Relativistic lead at arrival, (β²/2)·T</t>
  </si>
  <si>
    <t xml:space="preserve">Faster and shorter, yet more lead: the rate wins over the duration</t>
  </si>
  <si>
    <t xml:space="preserve">Lead gained over Chrysalis</t>
  </si>
  <si>
    <t xml:space="preserve">Control: speed at 0% moult, vₑ·ln √(1+F/M₀)</t>
  </si>
  <si>
    <t xml:space="preserve">Equals Chrysalis's β = 0.0106 exactly — the sheet contains its own control</t>
  </si>
  <si>
    <t xml:space="preserve">The moulting calendar — every shed fraction at once</t>
  </si>
  <si>
    <t xml:space="preserve">Moult fraction</t>
  </si>
  <si>
    <t xml:space="preserve">Cruise β</t>
  </si>
  <si>
    <t xml:space="preserve">Journey (yr)</t>
  </si>
  <si>
    <t xml:space="preserve">Years saved / lead</t>
  </si>
  <si>
    <t xml:space="preserve">What a moult sheds</t>
  </si>
  <si>
    <t xml:space="preserve">Mass moulted</t>
  </si>
  <si>
    <t xml:space="preserve">…per decade-watch of the Moult's own voyage</t>
  </si>
  <si>
    <t xml:space="preserve">About 31 decade-watches fit the shorter crossing: each seals a shell, and lets it go</t>
  </si>
  <si>
    <t xml:space="preserve">Spacing of the cast-off shells along the route</t>
  </si>
  <si>
    <t xml:space="preserve">One sealed shell adrift every so many light-years: the moult is legible from outside</t>
  </si>
  <si>
    <t xml:space="preserve">Nautilus and Moult are the same ship run in opposite directions: one keeps every era aboard and arrives long, the other posts its eras along the route and arrives early. The shells are not burned — a fusion drive wants deuterium, not drywall — they are simply never braked: cast off at cruise speed, they sweep through the Proxima system unbraked at the same ~310-year mark as the crew's arrival and keep going forever — a museum that never stops at its own opening. The ninety years is what the moult saves against Chrysalis's 400-year schedule, not a delay of the shells.</t>
  </si>
  <si>
    <t xml:space="preserve">Lighthouse — the broadcast: the core is a clock and a laser</t>
  </si>
  <si>
    <t xml:space="preserve">The cheapest time ship is the one Earth watches. Put the project's clocks in the core and a laser on the stern, and the voyage becomes a live broadcast from a slower stream of time: every ship-day arrives stretched by the Doppler factor k, and the whole 400-year crossing airs over 404. Nothing new flies — Chrysalis already carries the comms; this sheet points it home and does the bookkeeping.</t>
  </si>
  <si>
    <t xml:space="preserve">Transmitter power</t>
  </si>
  <si>
    <t xml:space="preserve">A laser the size of a streetlight</t>
  </si>
  <si>
    <t xml:space="preserve">Transmitter aperture</t>
  </si>
  <si>
    <t xml:space="preserve">Receiver aperture at Earth</t>
  </si>
  <si>
    <t xml:space="preserve">The ELT's mirror; any century that can build a Chrysalis keeps a telescope this size</t>
  </si>
  <si>
    <t xml:space="preserve">Wavelength</t>
  </si>
  <si>
    <t xml:space="preserve">nm</t>
  </si>
  <si>
    <t xml:space="preserve">Nd:YAG</t>
  </si>
  <si>
    <t xml:space="preserve">The slow-motion channel</t>
  </si>
  <si>
    <t xml:space="preserve">Doppler factor k = √((1+β)/(1−β))</t>
  </si>
  <si>
    <t xml:space="preserve">Recession: BOTH ends see the other slowed by k; the asymmetry settles only when the clocks stand still together</t>
  </si>
  <si>
    <t xml:space="preserve">Slow motion Earth sees</t>
  </si>
  <si>
    <t xml:space="preserve">Ship-seconds per Earth-second on the live feed</t>
  </si>
  <si>
    <t xml:space="preserve">The 400 ship-years air over</t>
  </si>
  <si>
    <t xml:space="preserve">Stretch — extra broadcast years</t>
  </si>
  <si>
    <t xml:space="preserve">Exactly the final light-time plus the relativistic lead: 4.23 + 0.02 years. The bookkeeping closes.</t>
  </si>
  <si>
    <t xml:space="preserve">Final latency</t>
  </si>
  <si>
    <t xml:space="preserve">Every hello from Proxima is this stale</t>
  </si>
  <si>
    <t xml:space="preserve">First round-trip conversation</t>
  </si>
  <si>
    <t xml:space="preserve">The link budget — photons across four light-years</t>
  </si>
  <si>
    <t xml:space="preserve">Received power, P·π²·D_t²·D_r² / (16 λ² d²)</t>
  </si>
  <si>
    <t xml:space="preserve">Diffraction-limited aperture to aperture, at the full Proxima distance</t>
  </si>
  <si>
    <t xml:space="preserve">…as photons per second</t>
  </si>
  <si>
    <t xml:space="preserve">photons/s</t>
  </si>
  <si>
    <t xml:space="preserve">Thousands per second at four light-years from a streetlight: a telemetry channel, a slideshow, a will</t>
  </si>
  <si>
    <t xml:space="preserve">Bits per second at 10 photons per bit</t>
  </si>
  <si>
    <t xml:space="preserve">bit/s</t>
  </si>
  <si>
    <t xml:space="preserve">Photon-starved but ample for clocks, logs and letters</t>
  </si>
  <si>
    <t xml:space="preserve">The programme guide</t>
  </si>
  <si>
    <t xml:space="preserve">Ship year</t>
  </si>
  <si>
    <t xml:space="preserve">Airs at Earth, calendar year</t>
  </si>
  <si>
    <t xml:space="preserve">Latency then (yr)</t>
  </si>
  <si>
    <t xml:space="preserve">What the audience is watching</t>
  </si>
  <si>
    <t xml:space="preserve">Departure, live from the L1 yard</t>
  </si>
  <si>
    <t xml:space="preserve">The great-grandchildren of the launch crew; nobody aboard remembers Earth</t>
  </si>
  <si>
    <t xml:space="preserve">Halfway: the turn of the ship's one long year</t>
  </si>
  <si>
    <t xml:space="preserve">Voices with an accent no linguist on Earth has heard spoken</t>
  </si>
  <si>
    <t xml:space="preserve">Arrival — the audience learns of it 4.2 years after the crew</t>
  </si>
  <si>
    <t xml:space="preserve">The channel runs both ways: Earth's lighthouse uplinks the archive, and the ship receives history at the same slow-motion factor — by arrival the crew are 4.23 years behind the news and 8.2 days younger than the calendar. During the cruise each end honestly sees the other slowed; relativity keeps the books symmetric until somebody turns around. Every core in this workbook should carry the Lighthouse as its black box: it is the only design whose time travel the people left behind get to share.</t>
  </si>
  <si>
    <t xml:space="preserve">Sundiver — the homebody: the core is a heat shield</t>
  </si>
  <si>
    <t xml:space="preserve">The time ship that never leaves. Drop the perihelion toward the Sun and every orbit banks a little lead — speed and depth pay together, and over a Kepler orbit the virial theorem collapses the whole bank to one number, the semi-major axis: ⟨v²/2 + GM/r⟩ = 3GM/2a. This sheet runs the dive and then says the honest thing: the well loses to the wheel.</t>
  </si>
  <si>
    <t xml:space="preserve">Perihelion</t>
  </si>
  <si>
    <t xml:space="preserve">R☉</t>
  </si>
  <si>
    <t xml:space="preserve">Parker Solar Probe survived 9.86 R☉ at 1,400 K; 4 is a bolder shield</t>
  </si>
  <si>
    <t xml:space="preserve">Aphelion</t>
  </si>
  <si>
    <t xml:space="preserve">AU</t>
  </si>
  <si>
    <t xml:space="preserve">The dive starts from home</t>
  </si>
  <si>
    <t xml:space="preserve">Years of service</t>
  </si>
  <si>
    <t xml:space="preserve">The span of the Chrysalis crossing, for the comparison</t>
  </si>
  <si>
    <t xml:space="preserve">The orbit and the bank</t>
  </si>
  <si>
    <t xml:space="preserve">Semi-major axis a</t>
  </si>
  <si>
    <t xml:space="preserve">Orbit period, 2π√(a³/GM)</t>
  </si>
  <si>
    <t xml:space="preserve">Perihelion speed, √(GM(2/r − 1/a))</t>
  </si>
  <si>
    <t xml:space="preserve">Beats Parker's 192 km/s record for any perihelion inside ~10 R☉</t>
  </si>
  <si>
    <t xml:space="preserve">Time-averaged slowdown vs Earth, (3GM/2c²)(1/a − 1/AU)</t>
  </si>
  <si>
    <t xml:space="preserve">⟨v²/2⟩ = GM/2a and ⟨GM/r⟩ = GM/a over a Kepler orbit; Earth's own orbit cancels in the difference. Checked against a numerical orbit integral to 10⁻⁵.</t>
  </si>
  <si>
    <t xml:space="preserve">…per day</t>
  </si>
  <si>
    <t xml:space="preserve">ms/day</t>
  </si>
  <si>
    <t xml:space="preserve">Banked per orbit</t>
  </si>
  <si>
    <t xml:space="preserve">Banked over the service life</t>
  </si>
  <si>
    <t xml:space="preserve">Three minutes per four centuries</t>
  </si>
  <si>
    <t xml:space="preserve">Blackbody equilibrium at perihelion, 279 K/√(r/AU)</t>
  </si>
  <si>
    <t xml:space="preserve">Isothermal-sphere blackbody, zero albedo; a sun-facing insulated shield runs up to 4^¼ ≈ 1.41× hotter — Parker's TPS design temperature was ~1,644 K at 9.86 R☉</t>
  </si>
  <si>
    <t xml:space="preserve">The verdict</t>
  </si>
  <si>
    <t xml:space="preserve">Chrysalis's coasting rate, β²/2</t>
  </si>
  <si>
    <t xml:space="preserve">The wheel beats the well by</t>
  </si>
  <si>
    <t xml:space="preserve">Coasting at 1% of c out-dilates a Sun-grazing orbit four-thousandfold: the solar potential is shallow, and a diver must keep returning to 1 AU to stay a ship</t>
  </si>
  <si>
    <t xml:space="preserve">A circular orbit matching Chrysalis would sit at</t>
  </si>
  <si>
    <t xml:space="preserve">Inside the Sun's photosphere — the orbit does not exist. Case closed.</t>
  </si>
  <si>
    <t xml:space="preserve">Kept for the same reason the Feynman core stays in the catalogue: a correct machine with an honest, damning number. The Sundiver's customers are clocks, not crews — as a calibration source it is the best proper-time waveform in the solar system — but as a ship it is a kettle that banks three minutes per four centuries. It teaches the starship rule in reverse: gravity gives dilation free only if you stay down the well, and staying down the Sun's well is called being inside the Sun.</t>
  </si>
</sst>
</file>

<file path=xl/styles.xml><?xml version="1.0" encoding="utf-8"?>
<styleSheet xmlns="http://schemas.openxmlformats.org/spreadsheetml/2006/main">
  <numFmts count="20">
    <numFmt numFmtId="164" formatCode="General"/>
    <numFmt numFmtId="165" formatCode="#,##0"/>
    <numFmt numFmtId="166" formatCode="0.000E+00"/>
    <numFmt numFmtId="167" formatCode="0.00"/>
    <numFmt numFmtId="168" formatCode="0.0000"/>
    <numFmt numFmtId="169" formatCode="0"/>
    <numFmt numFmtId="170" formatCode="0.0"/>
    <numFmt numFmtId="171" formatCode="0.000"/>
    <numFmt numFmtId="172" formatCode="0.000000"/>
    <numFmt numFmtId="173" formatCode="#,##0.0"/>
    <numFmt numFmtId="174" formatCode="#,##0.00"/>
    <numFmt numFmtId="175" formatCode="0.0%"/>
    <numFmt numFmtId="176" formatCode="@"/>
    <numFmt numFmtId="177" formatCode="[&gt;=1000000]0.00E+00;#,##0.0"/>
    <numFmt numFmtId="178" formatCode="#,##0.0###"/>
    <numFmt numFmtId="179" formatCode="[&gt;=100]#,##0;0.00"/>
    <numFmt numFmtId="180" formatCode="0.00%"/>
    <numFmt numFmtId="181" formatCode="0.00000"/>
    <numFmt numFmtId="182" formatCode="0.00E+00"/>
    <numFmt numFmtId="183" formatCode="0%"/>
  </numFmts>
  <fonts count="16">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sz val="11"/>
      <color theme="1"/>
      <name val="Arial"/>
      <family val="0"/>
      <charset val="1"/>
    </font>
    <font>
      <i val="true"/>
      <sz val="10"/>
      <color rgb="FF555555"/>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00"/>
      <name val="Arial"/>
      <family val="0"/>
      <charset val="1"/>
    </font>
    <font>
      <sz val="10"/>
      <color rgb="FF008000"/>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3A5F"/>
        <bgColor rgb="FF333333"/>
      </patternFill>
    </fill>
    <fill>
      <patternFill patternType="solid">
        <fgColor rgb="FFEEF2F7"/>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general" vertical="bottom" textRotation="0" wrapText="false" indent="0" shrinkToFit="false"/>
      <protection locked="true" hidden="false"/>
    </xf>
    <xf numFmtId="168" fontId="12" fillId="4" borderId="0" xfId="0" applyFont="true" applyBorder="false" applyAlignment="true" applyProtection="false">
      <alignment horizontal="general" vertical="bottom" textRotation="0" wrapText="false" indent="0" shrinkToFit="false"/>
      <protection locked="true" hidden="false"/>
    </xf>
    <xf numFmtId="165" fontId="12" fillId="4" borderId="0" xfId="0" applyFont="true" applyBorder="false" applyAlignment="true" applyProtection="false">
      <alignment horizontal="general" vertical="bottom" textRotation="0" wrapText="false" indent="0" shrinkToFit="false"/>
      <protection locked="true" hidden="false"/>
    </xf>
    <xf numFmtId="169" fontId="12" fillId="4" borderId="0" xfId="0" applyFont="true" applyBorder="false" applyAlignment="true" applyProtection="false">
      <alignment horizontal="general" vertical="bottom" textRotation="0" wrapText="false" indent="0" shrinkToFit="false"/>
      <protection locked="true" hidden="false"/>
    </xf>
    <xf numFmtId="167" fontId="12" fillId="4" borderId="0" xfId="0" applyFont="true" applyBorder="false" applyAlignment="true" applyProtection="false">
      <alignment horizontal="general" vertical="bottom" textRotation="0" wrapText="false" indent="0" shrinkToFit="false"/>
      <protection locked="true" hidden="false"/>
    </xf>
    <xf numFmtId="170" fontId="12" fillId="4"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72" fontId="10" fillId="0" borderId="0" xfId="0" applyFont="true" applyBorder="false" applyAlignment="true" applyProtection="false">
      <alignment horizontal="general" vertical="bottom" textRotation="0" wrapText="false" indent="0" shrinkToFit="false"/>
      <protection locked="true" hidden="false"/>
    </xf>
    <xf numFmtId="173" fontId="10" fillId="0" borderId="0" xfId="0" applyFont="true" applyBorder="false" applyAlignment="true" applyProtection="false">
      <alignment horizontal="general" vertical="bottom" textRotation="0" wrapText="false" indent="0" shrinkToFit="false"/>
      <protection locked="true" hidden="false"/>
    </xf>
    <xf numFmtId="17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75"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8" fontId="11" fillId="0" borderId="1" xfId="0" applyFont="true" applyBorder="true" applyAlignment="true" applyProtection="false">
      <alignment horizontal="general" vertical="bottom" textRotation="0" wrapText="false" indent="0" shrinkToFit="false"/>
      <protection locked="true" hidden="false"/>
    </xf>
    <xf numFmtId="169" fontId="12"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general" vertical="bottom" textRotation="0" wrapText="false" indent="0" shrinkToFit="false"/>
      <protection locked="true" hidden="false"/>
    </xf>
    <xf numFmtId="172" fontId="10" fillId="0" borderId="1" xfId="0" applyFont="true" applyBorder="true" applyAlignment="true" applyProtection="false">
      <alignment horizontal="general" vertical="bottom" textRotation="0" wrapText="false" indent="0" shrinkToFit="false"/>
      <protection locked="true" hidden="false"/>
    </xf>
    <xf numFmtId="174" fontId="10" fillId="0" borderId="1" xfId="0" applyFont="true" applyBorder="true" applyAlignment="true" applyProtection="false">
      <alignment horizontal="general" vertical="bottom" textRotation="0" wrapText="false" indent="0" shrinkToFit="false"/>
      <protection locked="true" hidden="false"/>
    </xf>
    <xf numFmtId="173" fontId="10" fillId="0" borderId="1" xfId="0" applyFont="true" applyBorder="true" applyAlignment="true" applyProtection="false">
      <alignment horizontal="general" vertical="bottom" textRotation="0" wrapText="false" indent="0" shrinkToFit="false"/>
      <protection locked="true" hidden="false"/>
    </xf>
    <xf numFmtId="176" fontId="10" fillId="0" borderId="1" xfId="0" applyFont="true" applyBorder="true" applyAlignment="tru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general" vertical="bottom" textRotation="0" wrapText="false" indent="0" shrinkToFit="false"/>
      <protection locked="true" hidden="false"/>
    </xf>
    <xf numFmtId="177" fontId="10" fillId="0" borderId="1" xfId="0" applyFont="true" applyBorder="true" applyAlignment="tru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general" vertical="bottom" textRotation="0" wrapText="false" indent="0" shrinkToFit="false"/>
      <protection locked="true" hidden="false"/>
    </xf>
    <xf numFmtId="167" fontId="12"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8" fontId="12" fillId="0" borderId="0" xfId="0" applyFont="true" applyBorder="false" applyAlignment="true" applyProtection="false">
      <alignment horizontal="general" vertical="bottom" textRotation="0" wrapText="false" indent="0" shrinkToFit="false"/>
      <protection locked="true" hidden="false"/>
    </xf>
    <xf numFmtId="179" fontId="10"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6" fontId="12" fillId="4"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76"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80" fontId="10"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5" fontId="10" fillId="4"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71" fontId="12" fillId="4" borderId="0" xfId="0" applyFont="true" applyBorder="false" applyAlignment="true" applyProtection="false">
      <alignment horizontal="general" vertical="bottom" textRotation="0" wrapText="false" indent="0" shrinkToFit="false"/>
      <protection locked="true" hidden="false"/>
    </xf>
    <xf numFmtId="173" fontId="11" fillId="0" borderId="0" xfId="0" applyFont="true" applyBorder="false" applyAlignment="true" applyProtection="false">
      <alignment horizontal="general" vertical="bottom" textRotation="0" wrapText="false" indent="0" shrinkToFit="false"/>
      <protection locked="true" hidden="false"/>
    </xf>
    <xf numFmtId="175" fontId="12" fillId="4"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81" fontId="12" fillId="0" borderId="0" xfId="0" applyFont="true" applyBorder="false" applyAlignment="true" applyProtection="false">
      <alignment horizontal="general" vertical="bottom" textRotation="0" wrapText="false" indent="0" shrinkToFit="false"/>
      <protection locked="true" hidden="false"/>
    </xf>
    <xf numFmtId="170" fontId="12" fillId="0" borderId="0" xfId="0" applyFont="true" applyBorder="false" applyAlignment="true" applyProtection="false">
      <alignment horizontal="general" vertical="bottom" textRotation="0" wrapText="false" indent="0" shrinkToFit="false"/>
      <protection locked="true" hidden="false"/>
    </xf>
    <xf numFmtId="182" fontId="12" fillId="0" borderId="0" xfId="0" applyFont="true" applyBorder="false" applyAlignment="true" applyProtection="false">
      <alignment horizontal="general" vertical="bottom" textRotation="0" wrapText="false" indent="0" shrinkToFit="false"/>
      <protection locked="true" hidden="false"/>
    </xf>
    <xf numFmtId="169" fontId="12" fillId="0" borderId="0" xfId="0" applyFont="true" applyBorder="false" applyAlignment="true" applyProtection="false">
      <alignment horizontal="general" vertical="bottom" textRotation="0" wrapText="false" indent="0" shrinkToFit="false"/>
      <protection locked="true" hidden="false"/>
    </xf>
    <xf numFmtId="183" fontId="12" fillId="4" borderId="0" xfId="0" applyFont="true" applyBorder="false" applyAlignment="true" applyProtection="false">
      <alignment horizontal="general" vertical="bottom" textRotation="0" wrapText="false" indent="0" shrinkToFit="false"/>
      <protection locked="true" hidden="false"/>
    </xf>
    <xf numFmtId="182" fontId="11"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83" fontId="12" fillId="0" borderId="0" xfId="0" applyFont="true" applyBorder="false" applyAlignment="true" applyProtection="false">
      <alignment horizontal="general" vertical="bottom" textRotation="0" wrapText="false" indent="0" shrinkToFit="false"/>
      <protection locked="true" hidden="false"/>
    </xf>
    <xf numFmtId="182"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E9945"/>
      <rgbColor rgb="FF800080"/>
      <rgbColor rgb="FF008080"/>
      <rgbColor rgb="FFBBBBBB"/>
      <rgbColor rgb="FF878787"/>
      <rgbColor rgb="FF9999FF"/>
      <rgbColor rgb="FF993366"/>
      <rgbColor rgb="FFEEF2F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C0D2A7"/>
      <rgbColor rgb="FF3366FF"/>
      <rgbColor rgb="FF33CCCC"/>
      <rgbColor rgb="FF98B855"/>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 1 g ship: Earth time, ship time and lead vs one-way distance</a:t>
            </a:r>
          </a:p>
        </c:rich>
      </c:tx>
      <c:overlay val="0"/>
      <c:spPr>
        <a:noFill/>
        <a:ln w="0">
          <a:noFill/>
        </a:ln>
      </c:spPr>
    </c:title>
    <c:autoTitleDeleted val="0"/>
    <c:plotArea>
      <c:scatterChart>
        <c:scatterStyle val="lineMarker"/>
        <c:varyColors val="0"/>
        <c:ser>
          <c:idx val="0"/>
          <c:order val="0"/>
          <c:tx>
            <c:strRef>
              <c:f>'Lead table'!B18</c:f>
              <c:strCache>
                <c:ptCount val="1"/>
                <c:pt idx="0">
                  <c:v>Ship time (yr)</c:v>
                </c:pt>
              </c:strCache>
            </c:strRef>
          </c:tx>
          <c:spPr>
            <a:solidFill>
              <a:srgbClr val="7e9945"/>
            </a:solidFill>
            <a:ln w="47520">
              <a:solidFill>
                <a:srgbClr val="7e9945"/>
              </a:solidFill>
              <a:round/>
            </a:ln>
          </c:spPr>
          <c:marker>
            <c:symbol val="circle"/>
            <c:size val="6"/>
            <c:spPr>
              <a:solidFill>
                <a:srgbClr val="7e9945"/>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'Lead table'!$A$19:$A$30</c:f>
              <c:numCache>
                <c:formatCode>#,##0.0###</c:formatCode>
                <c:ptCount val="12"/>
                <c:pt idx="0">
                  <c:v>1</c:v>
                </c:pt>
                <c:pt idx="1">
                  <c:v>2</c:v>
                </c:pt>
                <c:pt idx="2">
                  <c:v>4.2465</c:v>
                </c:pt>
                <c:pt idx="3">
                  <c:v>10</c:v>
                </c:pt>
                <c:pt idx="4">
                  <c:v>30</c:v>
                </c:pt>
                <c:pt idx="5">
                  <c:v>100</c:v>
                </c:pt>
                <c:pt idx="6">
                  <c:v>300</c:v>
                </c:pt>
                <c:pt idx="7">
                  <c:v>1000</c:v>
                </c:pt>
                <c:pt idx="8">
                  <c:v>3000</c:v>
                </c:pt>
                <c:pt idx="9">
                  <c:v>10000</c:v>
                </c:pt>
                <c:pt idx="10">
                  <c:v>26000</c:v>
                </c:pt>
                <c:pt idx="11">
                  <c:v>100000</c:v>
                </c:pt>
              </c:numCache>
            </c:numRef>
          </c:xVal>
          <c:yVal>
            <c:numRef>
              <c:f>'Lead table'!$B$19:$B$30</c:f>
              <c:numCache>
                <c:formatCode>#,##0.00</c:formatCode>
                <c:ptCount val="12"/>
                <c:pt idx="0">
                  <c:v>1.89234377986164</c:v>
                </c:pt>
                <c:pt idx="1">
                  <c:v>2.58725593476061</c:v>
                </c:pt>
                <c:pt idx="2">
                  <c:v>3.54209404983047</c:v>
                </c:pt>
                <c:pt idx="3">
                  <c:v>4.85289901413453</c:v>
                </c:pt>
                <c:pt idx="4">
                  <c:v>6.77062508823038</c:v>
                </c:pt>
                <c:pt idx="5">
                  <c:v>9.02077870825562</c:v>
                </c:pt>
                <c:pt idx="6">
                  <c:v>11.1247128593898</c:v>
                </c:pt>
                <c:pt idx="7">
                  <c:v>13.4486223277432</c:v>
                </c:pt>
                <c:pt idx="8">
                  <c:v>15.5746093222619</c:v>
                </c:pt>
                <c:pt idx="9">
                  <c:v>17.9063472469093</c:v>
                </c:pt>
                <c:pt idx="10">
                  <c:v>19.7573529914154</c:v>
                </c:pt>
                <c:pt idx="11">
                  <c:v>22.3671072768526</c:v>
                </c:pt>
              </c:numCache>
            </c:numRef>
          </c:yVal>
          <c:smooth val="1"/>
        </c:ser>
        <c:ser>
          <c:idx val="1"/>
          <c:order val="1"/>
          <c:tx>
            <c:strRef>
              <c:f>'Lead table'!C18</c:f>
              <c:strCache>
                <c:ptCount val="1"/>
                <c:pt idx="0">
                  <c:v>Earth time (yr)</c:v>
                </c:pt>
              </c:strCache>
            </c:strRef>
          </c:tx>
          <c:spPr>
            <a:solidFill>
              <a:srgbClr val="98b855"/>
            </a:solidFill>
            <a:ln w="47520">
              <a:solidFill>
                <a:srgbClr val="98b855"/>
              </a:solidFill>
              <a:round/>
            </a:ln>
          </c:spPr>
          <c:marker>
            <c:symbol val="circle"/>
            <c:size val="6"/>
            <c:spPr>
              <a:solidFill>
                <a:srgbClr val="98b855"/>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'Lead table'!$A$19:$A$30</c:f>
              <c:numCache>
                <c:formatCode>#,##0.0###</c:formatCode>
                <c:ptCount val="12"/>
                <c:pt idx="0">
                  <c:v>1</c:v>
                </c:pt>
                <c:pt idx="1">
                  <c:v>2</c:v>
                </c:pt>
                <c:pt idx="2">
                  <c:v>4.2465</c:v>
                </c:pt>
                <c:pt idx="3">
                  <c:v>10</c:v>
                </c:pt>
                <c:pt idx="4">
                  <c:v>30</c:v>
                </c:pt>
                <c:pt idx="5">
                  <c:v>100</c:v>
                </c:pt>
                <c:pt idx="6">
                  <c:v>300</c:v>
                </c:pt>
                <c:pt idx="7">
                  <c:v>1000</c:v>
                </c:pt>
                <c:pt idx="8">
                  <c:v>3000</c:v>
                </c:pt>
                <c:pt idx="9">
                  <c:v>10000</c:v>
                </c:pt>
                <c:pt idx="10">
                  <c:v>26000</c:v>
                </c:pt>
                <c:pt idx="11">
                  <c:v>100000</c:v>
                </c:pt>
              </c:numCache>
            </c:numRef>
          </c:xVal>
          <c:yVal>
            <c:numRef>
              <c:f>'Lead table'!$C$19:$C$30</c:f>
              <c:numCache>
                <c:formatCode>[&gt;=100]#,##0;0.00</c:formatCode>
                <c:ptCount val="12"/>
                <c:pt idx="0">
                  <c:v>2.20790858467672</c:v>
                </c:pt>
                <c:pt idx="1">
                  <c:v>3.42778655061518</c:v>
                </c:pt>
                <c:pt idx="2">
                  <c:v>5.87259368521396</c:v>
                </c:pt>
                <c:pt idx="3">
                  <c:v>11.7791596976563</c:v>
                </c:pt>
                <c:pt idx="4">
                  <c:v>31.8786105335329</c:v>
                </c:pt>
                <c:pt idx="5">
                  <c:v>101.919017027388</c:v>
                </c:pt>
                <c:pt idx="6">
                  <c:v>301.931214178804</c:v>
                </c:pt>
                <c:pt idx="7">
                  <c:v>1001.93555696876</c:v>
                </c:pt>
                <c:pt idx="8">
                  <c:v>3001.93680495691</c:v>
                </c:pt>
                <c:pt idx="9">
                  <c:v>10001.9372425137</c:v>
                </c:pt>
                <c:pt idx="10">
                  <c:v>26001.9373579792</c:v>
                </c:pt>
                <c:pt idx="11">
                  <c:v>100001.937411391</c:v>
                </c:pt>
              </c:numCache>
            </c:numRef>
          </c:yVal>
          <c:smooth val="1"/>
        </c:ser>
        <c:ser>
          <c:idx val="2"/>
          <c:order val="2"/>
          <c:tx>
            <c:strRef>
              <c:f>'Lead table'!D18</c:f>
              <c:strCache>
                <c:ptCount val="1"/>
                <c:pt idx="0">
                  <c:v>Lead (yr)</c:v>
                </c:pt>
              </c:strCache>
            </c:strRef>
          </c:tx>
          <c:spPr>
            <a:solidFill>
              <a:srgbClr val="c0d2a7"/>
            </a:solidFill>
            <a:ln w="47520">
              <a:solidFill>
                <a:srgbClr val="c0d2a7"/>
              </a:solidFill>
              <a:round/>
            </a:ln>
          </c:spPr>
          <c:marker>
            <c:symbol val="circle"/>
            <c:size val="6"/>
            <c:spPr>
              <a:solidFill>
                <a:srgbClr val="c0d2a7"/>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'Lead table'!$A$19:$A$30</c:f>
              <c:numCache>
                <c:formatCode>#,##0.0###</c:formatCode>
                <c:ptCount val="12"/>
                <c:pt idx="0">
                  <c:v>1</c:v>
                </c:pt>
                <c:pt idx="1">
                  <c:v>2</c:v>
                </c:pt>
                <c:pt idx="2">
                  <c:v>4.2465</c:v>
                </c:pt>
                <c:pt idx="3">
                  <c:v>10</c:v>
                </c:pt>
                <c:pt idx="4">
                  <c:v>30</c:v>
                </c:pt>
                <c:pt idx="5">
                  <c:v>100</c:v>
                </c:pt>
                <c:pt idx="6">
                  <c:v>300</c:v>
                </c:pt>
                <c:pt idx="7">
                  <c:v>1000</c:v>
                </c:pt>
                <c:pt idx="8">
                  <c:v>3000</c:v>
                </c:pt>
                <c:pt idx="9">
                  <c:v>10000</c:v>
                </c:pt>
                <c:pt idx="10">
                  <c:v>26000</c:v>
                </c:pt>
                <c:pt idx="11">
                  <c:v>100000</c:v>
                </c:pt>
              </c:numCache>
            </c:numRef>
          </c:xVal>
          <c:yVal>
            <c:numRef>
              <c:f>'Lead table'!$D$19:$D$30</c:f>
              <c:numCache>
                <c:formatCode>[&gt;=100]#,##0;0.00</c:formatCode>
                <c:ptCount val="12"/>
                <c:pt idx="0">
                  <c:v>0.315564804815079</c:v>
                </c:pt>
                <c:pt idx="1">
                  <c:v>0.840530615854569</c:v>
                </c:pt>
                <c:pt idx="2">
                  <c:v>2.33049963538349</c:v>
                </c:pt>
                <c:pt idx="3">
                  <c:v>6.92626068352181</c:v>
                </c:pt>
                <c:pt idx="4">
                  <c:v>25.1079854453025</c:v>
                </c:pt>
                <c:pt idx="5">
                  <c:v>92.8982383191319</c:v>
                </c:pt>
                <c:pt idx="6">
                  <c:v>290.806501319414</c:v>
                </c:pt>
                <c:pt idx="7">
                  <c:v>988.486934641012</c:v>
                </c:pt>
                <c:pt idx="8">
                  <c:v>2986.36219563464</c:v>
                </c:pt>
                <c:pt idx="9">
                  <c:v>9984.03089526681</c:v>
                </c:pt>
                <c:pt idx="10">
                  <c:v>25982.1800049878</c:v>
                </c:pt>
                <c:pt idx="11">
                  <c:v>99979.5703041145</c:v>
                </c:pt>
              </c:numCache>
            </c:numRef>
          </c:yVal>
          <c:smooth val="1"/>
        </c:ser>
        <c:axId val="9638665"/>
        <c:axId val="23286213"/>
      </c:scatterChart>
      <c:valAx>
        <c:axId val="9638665"/>
        <c:scaling>
          <c:logBase val="10"/>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One-way distance (light-years)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286213"/>
        <c:crosses val="autoZero"/>
        <c:crossBetween val="midCat"/>
      </c:valAx>
      <c:valAx>
        <c:axId val="23286213"/>
        <c:scaling>
          <c:logBase val="10"/>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Years</a:t>
                </a:r>
              </a:p>
            </c:rich>
          </c:tx>
          <c:overlay val="0"/>
          <c:spPr>
            <a:noFill/>
            <a:ln w="0">
              <a:noFill/>
            </a:ln>
          </c:spPr>
        </c:title>
        <c:numFmt formatCode="[&gt;=10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38665"/>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15</xdr:row>
      <xdr:rowOff>145440</xdr:rowOff>
    </xdr:from>
    <xdr:to>
      <xdr:col>14</xdr:col>
      <xdr:colOff>714240</xdr:colOff>
      <xdr:row>35</xdr:row>
      <xdr:rowOff>103680</xdr:rowOff>
    </xdr:to>
    <xdr:graphicFrame>
      <xdr:nvGraphicFramePr>
        <xdr:cNvPr id="0" name="Chart 1"/>
        <xdr:cNvGraphicFramePr/>
      </xdr:nvGraphicFramePr>
      <xdr:xfrm>
        <a:off x="6934320" y="4365000"/>
        <a:ext cx="8893080" cy="395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00"/>
    <col collapsed="false" customWidth="true" hidden="false" outlineLevel="0" max="4" min="3" style="1" width="4"/>
  </cols>
  <sheetData>
    <row r="1" customFormat="false" ht="18" hidden="false" customHeight="true" outlineLevel="0" collapsed="false">
      <c r="A1" s="2" t="s">
        <v>0</v>
      </c>
      <c r="B1" s="3"/>
    </row>
    <row r="2" customFormat="false" ht="30" hidden="false" customHeight="true" outlineLevel="0" collapsed="false">
      <c r="A2" s="4" t="s">
        <v>1</v>
      </c>
      <c r="B2" s="4"/>
    </row>
    <row r="3" customFormat="false" ht="15" hidden="false" customHeight="true" outlineLevel="0" collapsed="false">
      <c r="A3" s="3"/>
      <c r="B3" s="3"/>
    </row>
    <row r="4" customFormat="false" ht="75" hidden="false" customHeight="true" outlineLevel="0" collapsed="false">
      <c r="A4" s="5" t="s">
        <v>2</v>
      </c>
      <c r="B4" s="6" t="s">
        <v>3</v>
      </c>
    </row>
    <row r="5" customFormat="false" ht="15" hidden="false" customHeight="true" outlineLevel="0" collapsed="false">
      <c r="A5" s="6"/>
      <c r="B5" s="6"/>
    </row>
    <row r="6" customFormat="false" ht="45" hidden="false" customHeight="true" outlineLevel="0" collapsed="false">
      <c r="A6" s="5" t="s">
        <v>4</v>
      </c>
      <c r="B6" s="6" t="s">
        <v>5</v>
      </c>
    </row>
    <row r="7" customFormat="false" ht="15" hidden="false" customHeight="true" outlineLevel="0" collapsed="false">
      <c r="A7" s="6"/>
      <c r="B7" s="6"/>
    </row>
    <row r="8" customFormat="false" ht="15" hidden="false" customHeight="true" outlineLevel="0" collapsed="false">
      <c r="A8" s="5" t="s">
        <v>6</v>
      </c>
      <c r="B8" s="6"/>
    </row>
    <row r="9" customFormat="false" ht="30" hidden="false" customHeight="true" outlineLevel="0" collapsed="false">
      <c r="A9" s="6" t="s">
        <v>7</v>
      </c>
      <c r="B9" s="6" t="s">
        <v>8</v>
      </c>
    </row>
    <row r="10" customFormat="false" ht="30" hidden="false" customHeight="true" outlineLevel="0" collapsed="false">
      <c r="A10" s="6" t="s">
        <v>9</v>
      </c>
      <c r="B10" s="6" t="s">
        <v>10</v>
      </c>
    </row>
    <row r="11" customFormat="false" ht="30" hidden="false" customHeight="true" outlineLevel="0" collapsed="false">
      <c r="A11" s="6" t="s">
        <v>11</v>
      </c>
      <c r="B11" s="6" t="s">
        <v>12</v>
      </c>
    </row>
    <row r="12" customFormat="false" ht="30" hidden="false" customHeight="true" outlineLevel="0" collapsed="false">
      <c r="A12" s="6" t="s">
        <v>13</v>
      </c>
      <c r="B12" s="6" t="s">
        <v>14</v>
      </c>
    </row>
    <row r="13" customFormat="false" ht="30" hidden="false" customHeight="true" outlineLevel="0" collapsed="false">
      <c r="A13" s="6" t="s">
        <v>15</v>
      </c>
      <c r="B13" s="6" t="s">
        <v>16</v>
      </c>
    </row>
    <row r="14" customFormat="false" ht="30" hidden="false" customHeight="true" outlineLevel="0" collapsed="false">
      <c r="A14" s="6" t="s">
        <v>17</v>
      </c>
      <c r="B14" s="6" t="s">
        <v>18</v>
      </c>
    </row>
    <row r="15" customFormat="false" ht="30" hidden="false" customHeight="true" outlineLevel="0" collapsed="false">
      <c r="A15" s="6" t="s">
        <v>19</v>
      </c>
      <c r="B15" s="6" t="s">
        <v>20</v>
      </c>
    </row>
    <row r="16" customFormat="false" ht="30" hidden="false" customHeight="true" outlineLevel="0" collapsed="false">
      <c r="A16" s="7" t="s">
        <v>21</v>
      </c>
      <c r="B16" s="6" t="s">
        <v>22</v>
      </c>
    </row>
    <row r="17" customFormat="false" ht="15" hidden="false" customHeight="true" outlineLevel="0" collapsed="false">
      <c r="A17" s="7" t="s">
        <v>23</v>
      </c>
      <c r="B17" s="6" t="s">
        <v>24</v>
      </c>
    </row>
    <row r="18" customFormat="false" ht="15" hidden="false" customHeight="true" outlineLevel="0" collapsed="false">
      <c r="A18" s="7" t="s">
        <v>25</v>
      </c>
      <c r="B18" s="6" t="s">
        <v>26</v>
      </c>
    </row>
    <row r="19" customFormat="false" ht="45" hidden="false" customHeight="true" outlineLevel="0" collapsed="false">
      <c r="A19" s="7" t="s">
        <v>27</v>
      </c>
      <c r="B19" s="6" t="s">
        <v>28</v>
      </c>
    </row>
    <row r="20" customFormat="false" ht="60" hidden="false" customHeight="true" outlineLevel="0" collapsed="false">
      <c r="A20" s="7" t="s">
        <v>29</v>
      </c>
      <c r="B20" s="6" t="s">
        <v>30</v>
      </c>
    </row>
    <row r="21" customFormat="false" ht="90" hidden="false" customHeight="true" outlineLevel="0" collapsed="false">
      <c r="A21" s="6" t="s">
        <v>31</v>
      </c>
      <c r="B21" s="6" t="s">
        <v>32</v>
      </c>
    </row>
    <row r="22" customFormat="false" ht="15" hidden="false" customHeight="true" outlineLevel="0" collapsed="false">
      <c r="A22" s="6"/>
      <c r="B22" s="6"/>
    </row>
    <row r="23" customFormat="false" ht="15" hidden="false" customHeight="true" outlineLevel="0" collapsed="false">
      <c r="A23" s="5" t="s">
        <v>33</v>
      </c>
      <c r="B23" s="6"/>
    </row>
    <row r="24" customFormat="false" ht="15" hidden="false" customHeight="true" outlineLevel="0" collapsed="false">
      <c r="A24" s="6" t="s">
        <v>34</v>
      </c>
      <c r="B24" s="6" t="s">
        <v>35</v>
      </c>
    </row>
    <row r="25" customFormat="false" ht="30" hidden="false" customHeight="true" outlineLevel="0" collapsed="false">
      <c r="A25" s="6" t="s">
        <v>36</v>
      </c>
      <c r="B25" s="6" t="s">
        <v>37</v>
      </c>
    </row>
    <row r="26" customFormat="false" ht="30" hidden="false" customHeight="true" outlineLevel="0" collapsed="false">
      <c r="A26" s="6" t="s">
        <v>38</v>
      </c>
      <c r="B26" s="6" t="s">
        <v>39</v>
      </c>
    </row>
    <row r="27" customFormat="false" ht="30" hidden="false" customHeight="true" outlineLevel="0" collapsed="false">
      <c r="A27" s="6"/>
      <c r="B27" s="6"/>
    </row>
    <row r="28" customFormat="false" ht="15" hidden="false" customHeight="true" outlineLevel="0" collapsed="false">
      <c r="A28" s="5" t="s">
        <v>40</v>
      </c>
      <c r="B28" s="6"/>
    </row>
    <row r="29" customFormat="false" ht="30" hidden="false" customHeight="true" outlineLevel="0" collapsed="false">
      <c r="A29" s="6"/>
      <c r="B29" s="6" t="s">
        <v>41</v>
      </c>
    </row>
    <row r="30" customFormat="false" ht="45" hidden="false" customHeight="true" outlineLevel="0" collapsed="false">
      <c r="A30" s="6"/>
      <c r="B30" s="6" t="s">
        <v>42</v>
      </c>
    </row>
    <row r="31" customFormat="false" ht="30" hidden="false" customHeight="true" outlineLevel="0" collapsed="false">
      <c r="A31" s="6"/>
      <c r="B31" s="6" t="s">
        <v>43</v>
      </c>
    </row>
    <row r="32" customFormat="false" ht="15" hidden="false" customHeight="true" outlineLevel="0" collapsed="false">
      <c r="A32" s="6"/>
      <c r="B32" s="6" t="s">
        <v>44</v>
      </c>
    </row>
    <row r="33" customFormat="false" ht="30" hidden="false" customHeight="true" outlineLevel="0" collapsed="false">
      <c r="A33" s="6"/>
      <c r="B33" s="6" t="s">
        <v>45</v>
      </c>
    </row>
    <row r="34" customFormat="false" ht="30" hidden="false" customHeight="true" outlineLevel="0" collapsed="false">
      <c r="A34" s="6"/>
      <c r="B34" s="6" t="s">
        <v>46</v>
      </c>
    </row>
    <row r="35" customFormat="false" ht="15" hidden="false" customHeight="true" outlineLevel="0" collapsed="false">
      <c r="A35" s="6"/>
      <c r="B35" s="6" t="s">
        <v>47</v>
      </c>
    </row>
    <row r="36" customFormat="false" ht="30" hidden="false" customHeight="true" outlineLevel="0" collapsed="false">
      <c r="A36" s="6"/>
      <c r="B36" s="6" t="s">
        <v>48</v>
      </c>
    </row>
    <row r="37" customFormat="false" ht="15" hidden="false" customHeight="true" outlineLevel="0" collapsed="false">
      <c r="A37" s="6"/>
      <c r="B37" s="6" t="s">
        <v>49</v>
      </c>
    </row>
    <row r="38" customFormat="false" ht="15" hidden="false" customHeight="true" outlineLevel="0" collapsed="false">
      <c r="A38" s="6"/>
      <c r="B38" s="6" t="s">
        <v>50</v>
      </c>
    </row>
    <row r="39" customFormat="false" ht="15" hidden="false" customHeight="true" outlineLevel="0" collapsed="false">
      <c r="A39" s="6"/>
      <c r="B39" s="6" t="s">
        <v>51</v>
      </c>
    </row>
    <row r="40" customFormat="false" ht="15" hidden="false" customHeight="true" outlineLevel="0" collapsed="false">
      <c r="A40" s="6"/>
      <c r="B40" s="6" t="s">
        <v>52</v>
      </c>
    </row>
    <row r="41" customFormat="false" ht="15" hidden="false" customHeight="true" outlineLevel="0" collapsed="false">
      <c r="A41" s="6"/>
      <c r="B41" s="6" t="s">
        <v>53</v>
      </c>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5" min="2" style="1" width="44"/>
  </cols>
  <sheetData>
    <row r="1" customFormat="false" ht="18" hidden="false" customHeight="true" outlineLevel="0" collapsed="false">
      <c r="A1" s="2" t="s">
        <v>54</v>
      </c>
      <c r="B1" s="3"/>
      <c r="C1" s="3"/>
      <c r="D1" s="3"/>
      <c r="E1" s="3"/>
    </row>
    <row r="2" customFormat="false" ht="30" hidden="false" customHeight="true" outlineLevel="0" collapsed="false">
      <c r="A2" s="4" t="s">
        <v>55</v>
      </c>
      <c r="B2" s="4"/>
      <c r="C2" s="4"/>
      <c r="D2" s="4"/>
      <c r="E2" s="4"/>
    </row>
    <row r="3" customFormat="false" ht="15" hidden="false" customHeight="true" outlineLevel="0" collapsed="false">
      <c r="A3" s="3"/>
      <c r="B3" s="3"/>
      <c r="C3" s="3"/>
      <c r="D3" s="3"/>
      <c r="E3" s="3"/>
    </row>
    <row r="4" customFormat="false" ht="15" hidden="false" customHeight="true" outlineLevel="0" collapsed="false">
      <c r="A4" s="8"/>
      <c r="B4" s="8" t="s">
        <v>56</v>
      </c>
      <c r="C4" s="8" t="s">
        <v>57</v>
      </c>
      <c r="D4" s="8" t="s">
        <v>58</v>
      </c>
      <c r="E4" s="8" t="s">
        <v>59</v>
      </c>
    </row>
    <row r="5" customFormat="false" ht="75" hidden="false" customHeight="true" outlineLevel="0" collapsed="false">
      <c r="A5" s="9" t="s">
        <v>60</v>
      </c>
      <c r="B5" s="6" t="s">
        <v>61</v>
      </c>
      <c r="C5" s="6" t="s">
        <v>62</v>
      </c>
      <c r="D5" s="6" t="s">
        <v>63</v>
      </c>
      <c r="E5" s="6" t="s">
        <v>64</v>
      </c>
    </row>
    <row r="6" customFormat="false" ht="30" hidden="false" customHeight="true" outlineLevel="0" collapsed="false">
      <c r="A6" s="9" t="s">
        <v>65</v>
      </c>
      <c r="B6" s="6" t="s">
        <v>66</v>
      </c>
      <c r="C6" s="6" t="s">
        <v>67</v>
      </c>
      <c r="D6" s="6" t="s">
        <v>68</v>
      </c>
      <c r="E6" s="6" t="s">
        <v>67</v>
      </c>
    </row>
    <row r="7" customFormat="false" ht="60" hidden="false" customHeight="true" outlineLevel="0" collapsed="false">
      <c r="A7" s="9" t="s">
        <v>69</v>
      </c>
      <c r="B7" s="6" t="s">
        <v>70</v>
      </c>
      <c r="C7" s="6" t="s">
        <v>71</v>
      </c>
      <c r="D7" s="6" t="s">
        <v>72</v>
      </c>
      <c r="E7" s="6" t="s">
        <v>73</v>
      </c>
    </row>
    <row r="8" customFormat="false" ht="30" hidden="false" customHeight="true" outlineLevel="0" collapsed="false">
      <c r="A8" s="9" t="s">
        <v>74</v>
      </c>
      <c r="B8" s="6" t="s">
        <v>75</v>
      </c>
      <c r="C8" s="6" t="s">
        <v>76</v>
      </c>
      <c r="D8" s="6" t="s">
        <v>77</v>
      </c>
      <c r="E8" s="6" t="s">
        <v>78</v>
      </c>
    </row>
    <row r="9" customFormat="false" ht="45" hidden="false" customHeight="true" outlineLevel="0" collapsed="false">
      <c r="A9" s="9" t="s">
        <v>79</v>
      </c>
      <c r="B9" s="10" t="str">
        <f aca="false">Tower!$B$31</f>
        <v>2.3 years</v>
      </c>
      <c r="C9" s="10" t="str">
        <f aca="false">Lantern!$B$22&amp;" — "&amp;Lantern!$B$26</f>
        <v>2.3 years — No closed timelike curve: the door is safe</v>
      </c>
      <c r="D9" s="10" t="str">
        <f aca="false">'Lead table'!$R$5&amp;" (Chrysalis as drawn)"</f>
        <v>8.2 days (Chrysalis as drawn)</v>
      </c>
      <c r="E9" s="10" t="str">
        <f aca="false">TEXT(Vigil!$B$29,"0")&amp;" years skipped per person, plus "&amp;'Lead table'!$R$5&amp;" of relativistic lead"</f>
        <v>390 years skipped per person, plus 8.2 days of relativistic lead</v>
      </c>
    </row>
    <row r="10" customFormat="false" ht="30" hidden="false" customHeight="true" outlineLevel="0" collapsed="false">
      <c r="A10" s="9" t="s">
        <v>80</v>
      </c>
      <c r="B10" s="6" t="s">
        <v>81</v>
      </c>
      <c r="C10" s="6" t="s">
        <v>82</v>
      </c>
      <c r="D10" s="6" t="s">
        <v>83</v>
      </c>
      <c r="E10" s="6" t="s">
        <v>84</v>
      </c>
    </row>
    <row r="11" customFormat="false" ht="60" hidden="false" customHeight="true" outlineLevel="0" collapsed="false">
      <c r="A11" s="9" t="s">
        <v>85</v>
      </c>
      <c r="B11" s="10" t="str">
        <f aca="false">TEXT(Tower!$B$32-1,"#,##0")&amp;" t of fuel per t of ship; one Sun per "&amp;TEXT(Tower!$B$50,"#,##0")&amp;" ships at dry mass"</f>
        <v>38 t of fuel per t of ship; one Sun per 54,252 ships at dry mass</v>
      </c>
      <c r="C11" s="10" t="str">
        <f aca="false">"About "&amp;TEXT(Lantern!$B$14,"0.0")&amp;" Jupiter masses of negative mass for a "&amp;TEXT(Lantern!$B$7,"0")&amp;" m throat"</f>
        <v>About 1.4 Jupiter masses of negative mass for a 2 m throat</v>
      </c>
      <c r="D11" s="10" t="str">
        <f aca="false">"Spent tankage builds "&amp;TEXT(Nautilus!$B$31,"0%")&amp;" of the wished-for chambers: "&amp;TEXT(Nautilus!$B$32,"#,##0")&amp;" m per generation is affordable"</f>
        <v>Spent tankage builds 18% of the wished-for chambers: 184 m per generation is affordable</v>
      </c>
      <c r="E11" s="10" t="str">
        <f aca="false">"Cold storage for "&amp;TEXT(Vigil!$B$33,"#,##0")&amp;" people at a time; "&amp;TEXT(Vigil!$B$35,"#,##0")&amp;" kW to hold them"</f>
        <v>Cold storage for 2,340 people at a time; 351 kW to hold them</v>
      </c>
    </row>
    <row r="12" customFormat="false" ht="75" hidden="false" customHeight="true" outlineLevel="0" collapsed="false">
      <c r="A12" s="9" t="s">
        <v>86</v>
      </c>
      <c r="B12" s="6" t="s">
        <v>87</v>
      </c>
      <c r="C12" s="6" t="s">
        <v>88</v>
      </c>
      <c r="D12" s="6" t="s">
        <v>89</v>
      </c>
      <c r="E12" s="6" t="s">
        <v>90</v>
      </c>
    </row>
    <row r="13" customFormat="false" ht="30" hidden="false" customHeight="true" outlineLevel="0" collapsed="false">
      <c r="A13" s="9" t="s">
        <v>91</v>
      </c>
      <c r="B13" s="6" t="s">
        <v>92</v>
      </c>
      <c r="C13" s="6" t="s">
        <v>17</v>
      </c>
      <c r="D13" s="6" t="s">
        <v>93</v>
      </c>
      <c r="E13" s="6" t="s">
        <v>13</v>
      </c>
    </row>
    <row r="14" customFormat="false" ht="30" hidden="false" customHeight="true" outlineLevel="0" collapsed="false">
      <c r="A14" s="9" t="s">
        <v>94</v>
      </c>
      <c r="B14" s="6" t="s">
        <v>13</v>
      </c>
      <c r="C14" s="6" t="s">
        <v>15</v>
      </c>
      <c r="D14" s="6" t="s">
        <v>17</v>
      </c>
      <c r="E14" s="6" t="s">
        <v>19</v>
      </c>
    </row>
  </sheetData>
  <mergeCells count="1">
    <mergeCell ref="A2:E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6"/>
    <col collapsed="false" customWidth="true" hidden="false" outlineLevel="0" max="5" min="2" style="1" width="44"/>
  </cols>
  <sheetData>
    <row r="1" customFormat="false" ht="18" hidden="false" customHeight="true" outlineLevel="0" collapsed="false">
      <c r="A1" s="2" t="s">
        <v>95</v>
      </c>
    </row>
    <row r="2" customFormat="false" ht="57" hidden="false" customHeight="true" outlineLevel="0" collapsed="false">
      <c r="A2" s="11" t="s">
        <v>96</v>
      </c>
    </row>
    <row r="4" customFormat="false" ht="15" hidden="false" customHeight="true" outlineLevel="0" collapsed="false">
      <c r="B4" s="8" t="s">
        <v>97</v>
      </c>
      <c r="C4" s="8" t="s">
        <v>98</v>
      </c>
      <c r="D4" s="8" t="s">
        <v>99</v>
      </c>
      <c r="E4" s="8" t="s">
        <v>100</v>
      </c>
    </row>
    <row r="5" customFormat="false" ht="23.25" hidden="false" customHeight="true" outlineLevel="0" collapsed="false">
      <c r="A5" s="5" t="s">
        <v>60</v>
      </c>
      <c r="B5" s="10" t="s">
        <v>101</v>
      </c>
      <c r="C5" s="10" t="s">
        <v>102</v>
      </c>
      <c r="D5" s="10" t="s">
        <v>103</v>
      </c>
      <c r="E5" s="10" t="s">
        <v>104</v>
      </c>
    </row>
    <row r="6" customFormat="false" ht="15" hidden="false" customHeight="true" outlineLevel="0" collapsed="false">
      <c r="A6" s="5" t="s">
        <v>65</v>
      </c>
      <c r="B6" s="10" t="s">
        <v>105</v>
      </c>
      <c r="C6" s="10" t="s">
        <v>67</v>
      </c>
      <c r="D6" s="10" t="s">
        <v>67</v>
      </c>
      <c r="E6" s="10" t="s">
        <v>106</v>
      </c>
    </row>
    <row r="7" customFormat="false" ht="15" hidden="false" customHeight="true" outlineLevel="0" collapsed="false">
      <c r="A7" s="5" t="s">
        <v>69</v>
      </c>
      <c r="B7" s="10" t="s">
        <v>107</v>
      </c>
      <c r="C7" s="10" t="s">
        <v>108</v>
      </c>
      <c r="D7" s="10" t="s">
        <v>109</v>
      </c>
      <c r="E7" s="10" t="s">
        <v>110</v>
      </c>
    </row>
    <row r="8" customFormat="false" ht="23.25" hidden="false" customHeight="true" outlineLevel="0" collapsed="false">
      <c r="A8" s="5" t="s">
        <v>74</v>
      </c>
      <c r="B8" s="10" t="s">
        <v>111</v>
      </c>
      <c r="C8" s="10" t="s">
        <v>112</v>
      </c>
      <c r="D8" s="10" t="s">
        <v>113</v>
      </c>
      <c r="E8" s="10" t="s">
        <v>114</v>
      </c>
    </row>
    <row r="9" customFormat="false" ht="15" hidden="false" customHeight="true" outlineLevel="0" collapsed="false">
      <c r="A9" s="5" t="s">
        <v>79</v>
      </c>
      <c r="B9" s="12" t="str">
        <f aca="false">Pendulum!$B$20&amp;" per cycle, per rider"</f>
        <v>15.4 years per cycle, per rider</v>
      </c>
      <c r="C9" s="12" t="str">
        <f aca="false">TEXT(Moult!$B$19,"0")&amp;" years earlier at Proxima, with "&amp;TEXT(Moult!$B$20,"0.0")&amp;" days of lead"</f>
        <v>90 years earlier at Proxima, with 10.5 days of lead</v>
      </c>
      <c r="D9" s="12" t="str">
        <f aca="false">"400 ship-years air over "&amp;TEXT(Lighthouse!$B$16,"0.0")&amp;" Earth-years"</f>
        <v>400 ship-years air over 404.2 Earth-years</v>
      </c>
      <c r="E9" s="12" t="str">
        <f aca="false">TEXT(Sundiver!$B$19,"0")&amp;" s banked in "&amp;TEXT(Sundiver!$B$8,"0")&amp;" years of diving"</f>
        <v>180 s banked in 400 years of diving</v>
      </c>
    </row>
    <row r="10" customFormat="false" ht="15" hidden="false" customHeight="true" outlineLevel="0" collapsed="false">
      <c r="A10" s="5" t="s">
        <v>80</v>
      </c>
      <c r="B10" s="10" t="s">
        <v>115</v>
      </c>
      <c r="C10" s="10" t="s">
        <v>116</v>
      </c>
      <c r="D10" s="10" t="s">
        <v>117</v>
      </c>
      <c r="E10" s="10" t="s">
        <v>118</v>
      </c>
    </row>
    <row r="11" customFormat="false" ht="15" hidden="false" customHeight="true" outlineLevel="0" collapsed="false">
      <c r="A11" s="5" t="s">
        <v>85</v>
      </c>
      <c r="B11" s="12" t="str">
        <f aca="false">TEXT(Pendulum!$B$23,"#,##0")&amp;" t of perfect-photon fuel per rider per cycle"</f>
        <v>30,421,956,655 t of perfect-photon fuel per rider per cycle</v>
      </c>
      <c r="C11" s="12" t="str">
        <f aca="false">TEXT(Moult!$B$38/1000,"#,##0")&amp;" t of hull cast off — the speed is paid in shells, not fuel"</f>
        <v>1,200,000,000 t of hull cast off — the speed is paid in shells, not fuel</v>
      </c>
      <c r="D11" s="12" t="str">
        <f aca="false">TEXT(Lighthouse!$B$24,"#,##0")&amp;" photons per second at Earth from a "&amp;TEXT(Lighthouse!$B$6,"0")&amp;" kW stern light"</f>
        <v>2,774 photons per second at Earth from a 1 kW stern light</v>
      </c>
      <c r="E11" s="12" t="str">
        <f aca="false">"A shield at ≥ "&amp;TEXT(Sundiver!$B$20,"#,##0")&amp;" K, forever"</f>
        <v>A shield at ≥ 2,046 K, forever</v>
      </c>
    </row>
    <row r="12" customFormat="false" ht="23.25" hidden="false" customHeight="true" outlineLevel="0" collapsed="false">
      <c r="A12" s="5" t="s">
        <v>86</v>
      </c>
      <c r="B12" s="10" t="s">
        <v>119</v>
      </c>
      <c r="C12" s="10" t="s">
        <v>120</v>
      </c>
      <c r="D12" s="10" t="s">
        <v>121</v>
      </c>
      <c r="E12" s="10" t="s">
        <v>122</v>
      </c>
    </row>
    <row r="13" customFormat="false" ht="23.25" hidden="false" customHeight="true" outlineLevel="0" collapsed="false">
      <c r="A13" s="5" t="s">
        <v>91</v>
      </c>
      <c r="B13" s="10" t="s">
        <v>123</v>
      </c>
      <c r="C13" s="10" t="s">
        <v>124</v>
      </c>
      <c r="D13" s="10" t="s">
        <v>125</v>
      </c>
      <c r="E13" s="10" t="s">
        <v>126</v>
      </c>
    </row>
    <row r="14" customFormat="false" ht="15" hidden="false" customHeight="true" outlineLevel="0" collapsed="false">
      <c r="A14" s="5" t="s">
        <v>94</v>
      </c>
      <c r="B14" s="10" t="s">
        <v>23</v>
      </c>
      <c r="C14" s="10" t="s">
        <v>25</v>
      </c>
      <c r="D14" s="10" t="s">
        <v>27</v>
      </c>
      <c r="E14" s="10"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8"/>
    <col collapsed="false" customWidth="true" hidden="false" outlineLevel="0" max="3" min="3" style="1" width="14"/>
    <col collapsed="false" customWidth="true" hidden="false" outlineLevel="0" max="4" min="4" style="1" width="78"/>
  </cols>
  <sheetData>
    <row r="1" customFormat="false" ht="18" hidden="false" customHeight="true" outlineLevel="0" collapsed="false">
      <c r="A1" s="2" t="s">
        <v>127</v>
      </c>
      <c r="B1" s="3"/>
      <c r="C1" s="3"/>
      <c r="D1" s="3"/>
    </row>
    <row r="2" customFormat="false" ht="30" hidden="false" customHeight="true" outlineLevel="0" collapsed="false">
      <c r="A2" s="4" t="s">
        <v>128</v>
      </c>
      <c r="B2" s="4"/>
      <c r="C2" s="4"/>
      <c r="D2" s="4"/>
    </row>
    <row r="3" customFormat="false" ht="15" hidden="false" customHeight="true" outlineLevel="0" collapsed="false">
      <c r="A3" s="3"/>
      <c r="B3" s="3"/>
      <c r="C3" s="3"/>
      <c r="D3" s="3"/>
    </row>
    <row r="4" customFormat="false" ht="15" hidden="false" customHeight="true" outlineLevel="0" collapsed="false">
      <c r="A4" s="3"/>
      <c r="B4" s="3"/>
      <c r="C4" s="3"/>
      <c r="D4" s="3"/>
    </row>
    <row r="5" customFormat="false" ht="15" hidden="false" customHeight="true" outlineLevel="0" collapsed="false">
      <c r="A5" s="13" t="s">
        <v>129</v>
      </c>
      <c r="B5" s="13"/>
      <c r="C5" s="13"/>
      <c r="D5" s="13"/>
    </row>
    <row r="6" customFormat="false" ht="15" hidden="false" customHeight="true" outlineLevel="0" collapsed="false">
      <c r="A6" s="14" t="s">
        <v>130</v>
      </c>
      <c r="B6" s="14" t="s">
        <v>131</v>
      </c>
      <c r="C6" s="14" t="s">
        <v>132</v>
      </c>
      <c r="D6" s="14" t="s">
        <v>133</v>
      </c>
    </row>
    <row r="7" customFormat="false" ht="15" hidden="false" customHeight="true" outlineLevel="0" collapsed="false">
      <c r="A7" s="7" t="s">
        <v>134</v>
      </c>
      <c r="B7" s="15" t="n">
        <v>58</v>
      </c>
      <c r="C7" s="7" t="s">
        <v>135</v>
      </c>
      <c r="D7" s="6" t="s">
        <v>136</v>
      </c>
    </row>
    <row r="8" customFormat="false" ht="15" hidden="false" customHeight="true" outlineLevel="0" collapsed="false">
      <c r="A8" s="7" t="s">
        <v>137</v>
      </c>
      <c r="B8" s="15" t="n">
        <v>6</v>
      </c>
      <c r="C8" s="7" t="s">
        <v>135</v>
      </c>
      <c r="D8" s="6" t="s">
        <v>138</v>
      </c>
    </row>
    <row r="9" customFormat="false" ht="15" hidden="false" customHeight="true" outlineLevel="0" collapsed="false">
      <c r="A9" s="7" t="s">
        <v>139</v>
      </c>
      <c r="B9" s="16" t="n">
        <v>2400000000</v>
      </c>
      <c r="C9" s="7" t="s">
        <v>140</v>
      </c>
      <c r="D9" s="6" t="s">
        <v>141</v>
      </c>
    </row>
    <row r="10" customFormat="false" ht="15" hidden="false" customHeight="true" outlineLevel="0" collapsed="false">
      <c r="A10" s="7" t="s">
        <v>142</v>
      </c>
      <c r="B10" s="15" t="n">
        <v>2400</v>
      </c>
      <c r="C10" s="7" t="s">
        <v>143</v>
      </c>
      <c r="D10" s="6" t="s">
        <v>144</v>
      </c>
    </row>
    <row r="11" customFormat="false" ht="15" hidden="false" customHeight="true" outlineLevel="0" collapsed="false">
      <c r="A11" s="7" t="s">
        <v>145</v>
      </c>
      <c r="B11" s="15" t="n">
        <v>1500</v>
      </c>
      <c r="C11" s="7" t="s">
        <v>143</v>
      </c>
      <c r="D11" s="6" t="s">
        <v>146</v>
      </c>
    </row>
    <row r="12" customFormat="false" ht="15" hidden="false" customHeight="true" outlineLevel="0" collapsed="false">
      <c r="A12" s="7" t="s">
        <v>147</v>
      </c>
      <c r="B12" s="16" t="n">
        <v>40000000000000</v>
      </c>
      <c r="C12" s="7" t="s">
        <v>135</v>
      </c>
      <c r="D12" s="6" t="s">
        <v>148</v>
      </c>
    </row>
    <row r="13" customFormat="false" ht="15" hidden="false" customHeight="true" outlineLevel="0" collapsed="false">
      <c r="A13" s="7" t="s">
        <v>149</v>
      </c>
      <c r="B13" s="15" t="n">
        <v>400</v>
      </c>
      <c r="C13" s="7" t="s">
        <v>150</v>
      </c>
      <c r="D13" s="6" t="s">
        <v>151</v>
      </c>
    </row>
    <row r="14" customFormat="false" ht="15" hidden="false" customHeight="true" outlineLevel="0" collapsed="false">
      <c r="A14" s="7" t="s">
        <v>152</v>
      </c>
      <c r="B14" s="17" t="n">
        <v>1</v>
      </c>
      <c r="C14" s="7" t="s">
        <v>153</v>
      </c>
      <c r="D14" s="6" t="s">
        <v>154</v>
      </c>
    </row>
    <row r="15" customFormat="false" ht="15" hidden="false" customHeight="true" outlineLevel="0" collapsed="false">
      <c r="A15" s="7" t="s">
        <v>155</v>
      </c>
      <c r="B15" s="15" t="n">
        <v>5</v>
      </c>
      <c r="C15" s="7"/>
      <c r="D15" s="6" t="s">
        <v>156</v>
      </c>
    </row>
    <row r="16" customFormat="false" ht="15" hidden="false" customHeight="true" outlineLevel="0" collapsed="false">
      <c r="A16" s="3"/>
      <c r="B16" s="3"/>
      <c r="C16" s="3"/>
      <c r="D16" s="3"/>
    </row>
    <row r="17" customFormat="false" ht="15" hidden="false" customHeight="true" outlineLevel="0" collapsed="false">
      <c r="A17" s="13" t="s">
        <v>157</v>
      </c>
      <c r="B17" s="13"/>
      <c r="C17" s="13"/>
      <c r="D17" s="13"/>
    </row>
    <row r="18" customFormat="false" ht="15" hidden="false" customHeight="true" outlineLevel="0" collapsed="false">
      <c r="A18" s="14" t="s">
        <v>130</v>
      </c>
      <c r="B18" s="14" t="s">
        <v>131</v>
      </c>
      <c r="C18" s="14" t="s">
        <v>132</v>
      </c>
      <c r="D18" s="14" t="s">
        <v>133</v>
      </c>
    </row>
    <row r="19" customFormat="false" ht="23.25" hidden="false" customHeight="true" outlineLevel="0" collapsed="false">
      <c r="A19" s="7" t="s">
        <v>158</v>
      </c>
      <c r="B19" s="18" t="n">
        <v>0.0333</v>
      </c>
      <c r="C19" s="7" t="s">
        <v>159</v>
      </c>
      <c r="D19" s="6" t="s">
        <v>160</v>
      </c>
    </row>
    <row r="20" customFormat="false" ht="15" hidden="false" customHeight="true" outlineLevel="0" collapsed="false">
      <c r="A20" s="7" t="s">
        <v>161</v>
      </c>
      <c r="B20" s="19" t="n">
        <v>85</v>
      </c>
      <c r="C20" s="7" t="s">
        <v>150</v>
      </c>
      <c r="D20" s="6" t="s">
        <v>162</v>
      </c>
    </row>
    <row r="21" customFormat="false" ht="15" hidden="false" customHeight="true" outlineLevel="0" collapsed="false">
      <c r="A21" s="7" t="s">
        <v>163</v>
      </c>
      <c r="B21" s="19" t="n">
        <v>27</v>
      </c>
      <c r="C21" s="7" t="s">
        <v>150</v>
      </c>
      <c r="D21" s="6" t="s">
        <v>162</v>
      </c>
    </row>
    <row r="22" customFormat="false" ht="15" hidden="false" customHeight="true" outlineLevel="0" collapsed="false">
      <c r="A22" s="7" t="s">
        <v>164</v>
      </c>
      <c r="B22" s="20" t="n">
        <v>2125</v>
      </c>
      <c r="C22" s="7" t="s">
        <v>165</v>
      </c>
      <c r="D22" s="6" t="s">
        <v>166</v>
      </c>
    </row>
    <row r="23" customFormat="false" ht="15" hidden="false" customHeight="true" outlineLevel="0" collapsed="false">
      <c r="A23" s="7" t="s">
        <v>167</v>
      </c>
      <c r="B23" s="19" t="n">
        <v>25</v>
      </c>
      <c r="C23" s="7" t="s">
        <v>150</v>
      </c>
      <c r="D23" s="6" t="s">
        <v>162</v>
      </c>
    </row>
    <row r="24" customFormat="false" ht="23.25" hidden="false" customHeight="true" outlineLevel="0" collapsed="false">
      <c r="A24" s="7" t="s">
        <v>168</v>
      </c>
      <c r="B24" s="21" t="n">
        <v>0.5</v>
      </c>
      <c r="C24" s="7" t="s">
        <v>159</v>
      </c>
      <c r="D24" s="6" t="s">
        <v>169</v>
      </c>
    </row>
    <row r="25" customFormat="false" ht="15" hidden="false" customHeight="true" outlineLevel="0" collapsed="false">
      <c r="A25" s="7" t="s">
        <v>170</v>
      </c>
      <c r="B25" s="22" t="n">
        <v>1</v>
      </c>
      <c r="C25" s="7" t="s">
        <v>171</v>
      </c>
      <c r="D25" s="6" t="s">
        <v>162</v>
      </c>
    </row>
    <row r="26" customFormat="false" ht="15" hidden="false" customHeight="true" outlineLevel="0" collapsed="false">
      <c r="A26" s="3"/>
      <c r="B26" s="3"/>
      <c r="C26" s="3"/>
      <c r="D26" s="3"/>
    </row>
    <row r="27" customFormat="false" ht="15" hidden="false" customHeight="true" outlineLevel="0" collapsed="false">
      <c r="A27" s="13" t="s">
        <v>172</v>
      </c>
      <c r="B27" s="13"/>
      <c r="C27" s="13"/>
      <c r="D27" s="13"/>
    </row>
    <row r="28" customFormat="false" ht="15" hidden="false" customHeight="true" outlineLevel="0" collapsed="false">
      <c r="A28" s="14" t="s">
        <v>130</v>
      </c>
      <c r="B28" s="14" t="s">
        <v>131</v>
      </c>
      <c r="C28" s="14" t="s">
        <v>132</v>
      </c>
      <c r="D28" s="14" t="s">
        <v>133</v>
      </c>
    </row>
    <row r="29" customFormat="false" ht="15" hidden="false" customHeight="true" outlineLevel="0" collapsed="false">
      <c r="A29" s="7" t="s">
        <v>173</v>
      </c>
      <c r="B29" s="23" t="n">
        <f aca="false">$B$8*1000/2</f>
        <v>3000</v>
      </c>
      <c r="C29" s="7" t="s">
        <v>174</v>
      </c>
      <c r="D29" s="6"/>
    </row>
    <row r="30" customFormat="false" ht="15" hidden="false" customHeight="true" outlineLevel="0" collapsed="false">
      <c r="A30" s="7" t="s">
        <v>134</v>
      </c>
      <c r="B30" s="23" t="n">
        <f aca="false">$B$7*1000</f>
        <v>58000</v>
      </c>
      <c r="C30" s="7" t="s">
        <v>174</v>
      </c>
      <c r="D30" s="6"/>
    </row>
    <row r="31" customFormat="false" ht="15" hidden="false" customHeight="true" outlineLevel="0" collapsed="false">
      <c r="A31" s="7" t="s">
        <v>175</v>
      </c>
      <c r="B31" s="24" t="n">
        <f aca="false">$B$9*1000</f>
        <v>2400000000000</v>
      </c>
      <c r="C31" s="7" t="s">
        <v>176</v>
      </c>
      <c r="D31" s="6"/>
    </row>
    <row r="32" customFormat="false" ht="15" hidden="false" customHeight="true" outlineLevel="0" collapsed="false">
      <c r="A32" s="7" t="s">
        <v>177</v>
      </c>
      <c r="B32" s="24" t="n">
        <f aca="false">$B$12*1000</f>
        <v>40000000000000000</v>
      </c>
      <c r="C32" s="7" t="s">
        <v>174</v>
      </c>
      <c r="D32" s="6"/>
    </row>
    <row r="33" customFormat="false" ht="15" hidden="false" customHeight="true" outlineLevel="0" collapsed="false">
      <c r="A33" s="7" t="s">
        <v>177</v>
      </c>
      <c r="B33" s="25" t="n">
        <f aca="false">$B$32/Constants!$B$12</f>
        <v>4.22800333609846</v>
      </c>
      <c r="C33" s="7" t="s">
        <v>178</v>
      </c>
      <c r="D33" s="6"/>
    </row>
    <row r="34" customFormat="false" ht="15" hidden="false" customHeight="true" outlineLevel="0" collapsed="false">
      <c r="A34" s="7" t="s">
        <v>179</v>
      </c>
      <c r="B34" s="24" t="n">
        <f aca="false">$B$32/($B$13*Constants!$B$10)</f>
        <v>3168808.7814029</v>
      </c>
      <c r="C34" s="7" t="s">
        <v>180</v>
      </c>
      <c r="D34" s="6"/>
    </row>
    <row r="35" customFormat="false" ht="15" hidden="false" customHeight="true" outlineLevel="0" collapsed="false">
      <c r="A35" s="7" t="s">
        <v>181</v>
      </c>
      <c r="B35" s="23" t="n">
        <f aca="false">$B$34/1000</f>
        <v>3168.8087814029</v>
      </c>
      <c r="C35" s="7" t="s">
        <v>182</v>
      </c>
      <c r="D35" s="6"/>
    </row>
    <row r="36" customFormat="false" ht="15" hidden="false" customHeight="true" outlineLevel="0" collapsed="false">
      <c r="A36" s="7" t="s">
        <v>183</v>
      </c>
      <c r="B36" s="26" t="n">
        <f aca="false">$B$34/Constants!$B$7</f>
        <v>0.0105700083402462</v>
      </c>
      <c r="C36" s="7" t="s">
        <v>159</v>
      </c>
      <c r="D36" s="6" t="s">
        <v>184</v>
      </c>
    </row>
    <row r="37" customFormat="false" ht="15" hidden="false" customHeight="true" outlineLevel="0" collapsed="false">
      <c r="A37" s="7" t="s">
        <v>185</v>
      </c>
      <c r="B37" s="27" t="n">
        <f aca="false">1/SQRT(1-$B$36^2)</f>
        <v>1.00005586721953</v>
      </c>
      <c r="C37" s="7"/>
      <c r="D37" s="6"/>
    </row>
    <row r="38" customFormat="false" ht="15" hidden="false" customHeight="true" outlineLevel="0" collapsed="false">
      <c r="A38" s="3"/>
      <c r="B38" s="3"/>
      <c r="C38" s="3"/>
      <c r="D38" s="3"/>
    </row>
    <row r="39" customFormat="false" ht="15" hidden="false" customHeight="true" outlineLevel="0" collapsed="false">
      <c r="A39" s="13" t="s">
        <v>186</v>
      </c>
      <c r="B39" s="13"/>
      <c r="C39" s="13"/>
      <c r="D39" s="13"/>
    </row>
    <row r="40" customFormat="false" ht="15" hidden="false" customHeight="true" outlineLevel="0" collapsed="false">
      <c r="A40" s="14" t="s">
        <v>130</v>
      </c>
      <c r="B40" s="14" t="s">
        <v>131</v>
      </c>
      <c r="C40" s="14" t="s">
        <v>132</v>
      </c>
      <c r="D40" s="14" t="s">
        <v>133</v>
      </c>
    </row>
    <row r="41" customFormat="false" ht="15" hidden="false" customHeight="true" outlineLevel="0" collapsed="false">
      <c r="A41" s="7" t="s">
        <v>187</v>
      </c>
      <c r="B41" s="28" t="n">
        <f aca="false">SQRT($B$14*Constants!$B$8*$B$29)</f>
        <v>171.522447510523</v>
      </c>
      <c r="C41" s="7" t="s">
        <v>180</v>
      </c>
      <c r="D41" s="6"/>
    </row>
    <row r="42" customFormat="false" ht="15" hidden="false" customHeight="true" outlineLevel="0" collapsed="false">
      <c r="A42" s="7" t="s">
        <v>188</v>
      </c>
      <c r="B42" s="28" t="n">
        <f aca="false">2*PI()*$B$29/$B$41</f>
        <v>109.8955629139</v>
      </c>
      <c r="C42" s="7" t="s">
        <v>189</v>
      </c>
      <c r="D42" s="6"/>
    </row>
    <row r="43" customFormat="false" ht="15" hidden="false" customHeight="true" outlineLevel="0" collapsed="false">
      <c r="A43" s="7" t="s">
        <v>190</v>
      </c>
      <c r="B43" s="25" t="n">
        <f aca="false">60/$B$42</f>
        <v>0.545972907450397</v>
      </c>
      <c r="C43" s="7" t="s">
        <v>191</v>
      </c>
      <c r="D43" s="6"/>
    </row>
    <row r="44" customFormat="false" ht="15" hidden="false" customHeight="true" outlineLevel="0" collapsed="false">
      <c r="A44" s="7" t="s">
        <v>192</v>
      </c>
      <c r="B44" s="24" t="n">
        <f aca="false">$B$41^2/(2*Constants!$B$7^2)</f>
        <v>1.63670545082973E-013</v>
      </c>
      <c r="C44" s="7" t="s">
        <v>193</v>
      </c>
      <c r="D44" s="6" t="s">
        <v>194</v>
      </c>
    </row>
    <row r="45" customFormat="false" ht="15" hidden="false" customHeight="true" outlineLevel="0" collapsed="false">
      <c r="A45" s="7" t="s">
        <v>195</v>
      </c>
      <c r="B45" s="29" t="n">
        <f aca="false">$B$44*Constants!$B$11*1000000000</f>
        <v>14.1411350951689</v>
      </c>
      <c r="C45" s="7" t="s">
        <v>196</v>
      </c>
      <c r="D45" s="6" t="s">
        <v>197</v>
      </c>
    </row>
    <row r="46" customFormat="false" ht="15" hidden="false" customHeight="true" outlineLevel="0" collapsed="false">
      <c r="A46" s="7" t="s">
        <v>198</v>
      </c>
      <c r="B46" s="29" t="n">
        <f aca="false">$B$45/Constants!$B$39</f>
        <v>1.41911069063387</v>
      </c>
      <c r="C46" s="7" t="s">
        <v>199</v>
      </c>
      <c r="D46" s="6" t="s">
        <v>200</v>
      </c>
    </row>
    <row r="47" customFormat="false" ht="15" hidden="false" customHeight="true" outlineLevel="0" collapsed="false">
      <c r="A47" s="7" t="s">
        <v>201</v>
      </c>
      <c r="B47" s="28" t="n">
        <f aca="false">$B$45/Constants!$B$41</f>
        <v>66.6666666666667</v>
      </c>
      <c r="C47" s="7" t="s">
        <v>202</v>
      </c>
      <c r="D47" s="6"/>
    </row>
    <row r="48" customFormat="false" ht="15" hidden="false" customHeight="true" outlineLevel="0" collapsed="false">
      <c r="A48" s="7" t="s">
        <v>203</v>
      </c>
      <c r="B48" s="25" t="n">
        <f aca="false">$B$44*$B$20*Constants!$B$10*1000</f>
        <v>0.439029215448387</v>
      </c>
      <c r="C48" s="7" t="s">
        <v>204</v>
      </c>
      <c r="D48" s="6" t="s">
        <v>205</v>
      </c>
    </row>
    <row r="49" customFormat="false" ht="15" hidden="false" customHeight="true" outlineLevel="0" collapsed="false">
      <c r="A49" s="3"/>
      <c r="B49" s="3"/>
      <c r="C49" s="3"/>
      <c r="D49" s="3"/>
    </row>
    <row r="50" customFormat="false" ht="15" hidden="false" customHeight="true" outlineLevel="0" collapsed="false">
      <c r="A50" s="13" t="s">
        <v>206</v>
      </c>
      <c r="B50" s="13"/>
      <c r="C50" s="13"/>
      <c r="D50" s="13"/>
    </row>
    <row r="51" customFormat="false" ht="15" hidden="false" customHeight="true" outlineLevel="0" collapsed="false">
      <c r="A51" s="14" t="s">
        <v>207</v>
      </c>
      <c r="B51" s="14" t="s">
        <v>208</v>
      </c>
      <c r="C51" s="14" t="s">
        <v>209</v>
      </c>
      <c r="D51" s="14" t="s">
        <v>210</v>
      </c>
    </row>
    <row r="52" customFormat="false" ht="15" hidden="false" customHeight="true" outlineLevel="0" collapsed="false">
      <c r="A52" s="30" t="str">
        <f aca="false">Constants!$A$45</f>
        <v>Structural steel (A36)</v>
      </c>
      <c r="B52" s="28" t="n">
        <f aca="false">Constants!$B$45*$B$41^2/1000000</f>
        <v>230.9466075</v>
      </c>
      <c r="C52" s="31" t="n">
        <f aca="false">Constants!$C$45</f>
        <v>250</v>
      </c>
      <c r="D52" s="32" t="n">
        <f aca="false">B52/C52</f>
        <v>0.92378643</v>
      </c>
    </row>
    <row r="53" customFormat="false" ht="15" hidden="false" customHeight="true" outlineLevel="0" collapsed="false">
      <c r="A53" s="30" t="str">
        <f aca="false">Constants!$A$46</f>
        <v>Aluminium 6061-T6</v>
      </c>
      <c r="B53" s="28" t="n">
        <f aca="false">Constants!$B$46*$B$41^2/1000000</f>
        <v>79.433865</v>
      </c>
      <c r="C53" s="31" t="n">
        <f aca="false">Constants!$C$46</f>
        <v>276</v>
      </c>
      <c r="D53" s="32" t="n">
        <f aca="false">B53/C53</f>
        <v>0.287803858695652</v>
      </c>
    </row>
    <row r="54" customFormat="false" ht="15" hidden="false" customHeight="true" outlineLevel="0" collapsed="false">
      <c r="A54" s="30" t="str">
        <f aca="false">Constants!$A$47</f>
        <v>Carbon-fibre laminate (unidirectional, fibre direction)</v>
      </c>
      <c r="B54" s="28" t="n">
        <f aca="false">Constants!$B$47*$B$41^2/1000000</f>
        <v>47.07192</v>
      </c>
      <c r="C54" s="31" t="n">
        <f aca="false">Constants!$C$47</f>
        <v>1500</v>
      </c>
      <c r="D54" s="32" t="n">
        <f aca="false">B54/C54</f>
        <v>0.03138128</v>
      </c>
    </row>
    <row r="55" customFormat="false" ht="15" hidden="false" customHeight="true" outlineLevel="0" collapsed="false">
      <c r="A55" s="30" t="str">
        <f aca="false">Constants!$A$48</f>
        <v>Graphene (ideal single sheet)</v>
      </c>
      <c r="B55" s="28" t="n">
        <f aca="false">Constants!$B$48*$B$41^2/1000000</f>
        <v>66.69502665</v>
      </c>
      <c r="C55" s="31" t="n">
        <f aca="false">Constants!$C$48</f>
        <v>130000</v>
      </c>
      <c r="D55" s="32" t="n">
        <f aca="false">B55/C55</f>
        <v>0.000513038666538461</v>
      </c>
    </row>
    <row r="56" customFormat="false" ht="45" hidden="false" customHeight="true" outlineLevel="0" collapsed="false">
      <c r="A56" s="33" t="s">
        <v>211</v>
      </c>
      <c r="B56" s="33"/>
      <c r="C56" s="33"/>
      <c r="D56" s="33"/>
    </row>
    <row r="57" customFormat="false" ht="15" hidden="false" customHeight="true" outlineLevel="0" collapsed="false">
      <c r="A57" s="3"/>
      <c r="B57" s="3"/>
      <c r="C57" s="3"/>
      <c r="D57" s="3"/>
    </row>
    <row r="58" customFormat="false" ht="15" hidden="false" customHeight="true" outlineLevel="0" collapsed="false">
      <c r="A58" s="7" t="s">
        <v>212</v>
      </c>
      <c r="B58" s="24" t="n">
        <f aca="false">$B$24*Constants!$B$7</f>
        <v>149896229</v>
      </c>
      <c r="C58" s="7" t="s">
        <v>180</v>
      </c>
      <c r="D58" s="6"/>
    </row>
    <row r="59" customFormat="false" ht="15" hidden="false" customHeight="true" outlineLevel="0" collapsed="false">
      <c r="A59" s="7" t="s">
        <v>213</v>
      </c>
      <c r="B59" s="24" t="n">
        <f aca="false">Constants!$B$45*$B$58^2/1000000</f>
        <v>176380703827100</v>
      </c>
      <c r="C59" s="7" t="s">
        <v>214</v>
      </c>
      <c r="D59" s="6" t="s">
        <v>215</v>
      </c>
    </row>
    <row r="60" customFormat="false" ht="15" hidden="false" customHeight="true" outlineLevel="0" collapsed="false">
      <c r="A60" s="7" t="s">
        <v>216</v>
      </c>
      <c r="B60" s="24" t="n">
        <f aca="false">$B$59/Constants!$C$48</f>
        <v>1356774644.82385</v>
      </c>
      <c r="C60" s="7" t="s">
        <v>217</v>
      </c>
      <c r="D60" s="6" t="s">
        <v>218</v>
      </c>
    </row>
    <row r="61" customFormat="false" ht="15" hidden="false" customHeight="true" outlineLevel="0" collapsed="false">
      <c r="A61" s="3"/>
      <c r="B61" s="3"/>
      <c r="C61" s="3"/>
      <c r="D61" s="3"/>
    </row>
    <row r="62" customFormat="false" ht="15" hidden="false" customHeight="true" outlineLevel="0" collapsed="false">
      <c r="A62" s="13" t="s">
        <v>219</v>
      </c>
      <c r="B62" s="13"/>
      <c r="C62" s="13"/>
      <c r="D62" s="13"/>
    </row>
    <row r="63" customFormat="false" ht="15" hidden="false" customHeight="true" outlineLevel="0" collapsed="false">
      <c r="A63" s="14" t="s">
        <v>130</v>
      </c>
      <c r="B63" s="14" t="s">
        <v>131</v>
      </c>
      <c r="C63" s="14" t="s">
        <v>132</v>
      </c>
      <c r="D63" s="14" t="s">
        <v>133</v>
      </c>
    </row>
    <row r="64" customFormat="false" ht="15" hidden="false" customHeight="true" outlineLevel="0" collapsed="false">
      <c r="A64" s="7" t="s">
        <v>220</v>
      </c>
      <c r="B64" s="26" t="n">
        <f aca="false">$B$13*SQRT(1-$B$36^2)</f>
        <v>399.977654360578</v>
      </c>
      <c r="C64" s="7" t="s">
        <v>150</v>
      </c>
      <c r="D64" s="6"/>
    </row>
    <row r="65" customFormat="false" ht="15" hidden="false" customHeight="true" outlineLevel="0" collapsed="false">
      <c r="A65" s="7" t="s">
        <v>221</v>
      </c>
      <c r="B65" s="26" t="n">
        <f aca="false">$B$13-$B$64</f>
        <v>0.0223456394220989</v>
      </c>
      <c r="C65" s="7" t="s">
        <v>150</v>
      </c>
      <c r="D65" s="6"/>
    </row>
    <row r="66" customFormat="false" ht="15" hidden="false" customHeight="true" outlineLevel="0" collapsed="false">
      <c r="A66" s="7" t="s">
        <v>222</v>
      </c>
      <c r="B66" s="29" t="n">
        <f aca="false">$B$65*365.25</f>
        <v>8.16174479892162</v>
      </c>
      <c r="C66" s="7" t="s">
        <v>223</v>
      </c>
      <c r="D66" s="6" t="s">
        <v>224</v>
      </c>
    </row>
    <row r="67" customFormat="false" ht="15" hidden="false" customHeight="true" outlineLevel="0" collapsed="false">
      <c r="A67" s="7" t="s">
        <v>225</v>
      </c>
      <c r="B67" s="24" t="n">
        <f aca="false">Constants!$B$14/(Constants!$B$13*Constants!$B$7^2)</f>
        <v>9.87062871510779E-009</v>
      </c>
      <c r="C67" s="7" t="s">
        <v>193</v>
      </c>
      <c r="D67" s="6"/>
    </row>
    <row r="68" customFormat="false" ht="15" hidden="false" customHeight="true" outlineLevel="0" collapsed="false">
      <c r="A68" s="7" t="s">
        <v>226</v>
      </c>
      <c r="B68" s="23" t="n">
        <f aca="false">2*PI()*Constants!$B$13/Constants!$B$10</f>
        <v>29785.2543655915</v>
      </c>
      <c r="C68" s="7" t="s">
        <v>180</v>
      </c>
      <c r="D68" s="6"/>
    </row>
    <row r="69" customFormat="false" ht="15" hidden="false" customHeight="true" outlineLevel="0" collapsed="false">
      <c r="A69" s="7" t="s">
        <v>227</v>
      </c>
      <c r="B69" s="24" t="n">
        <f aca="false">$B$68^2/(2*Constants!$B$7^2)</f>
        <v>4.93550078270413E-009</v>
      </c>
      <c r="C69" s="7" t="s">
        <v>193</v>
      </c>
      <c r="D69" s="6"/>
    </row>
    <row r="70" customFormat="false" ht="15" hidden="false" customHeight="true" outlineLevel="0" collapsed="false">
      <c r="A70" s="7" t="s">
        <v>228</v>
      </c>
      <c r="B70" s="24" t="n">
        <f aca="false">Constants!$B$15/(Constants!$B$16*Constants!$B$7^2)</f>
        <v>6.95352540586957E-010</v>
      </c>
      <c r="C70" s="7" t="s">
        <v>193</v>
      </c>
      <c r="D70" s="6"/>
    </row>
    <row r="71" customFormat="false" ht="15" hidden="false" customHeight="true" outlineLevel="0" collapsed="false">
      <c r="A71" s="7" t="s">
        <v>229</v>
      </c>
      <c r="B71" s="24" t="n">
        <f aca="false">$B$67+$B$69+$B$70</f>
        <v>1.55014820383989E-008</v>
      </c>
      <c r="C71" s="7" t="s">
        <v>193</v>
      </c>
      <c r="D71" s="6" t="s">
        <v>230</v>
      </c>
    </row>
    <row r="72" customFormat="false" ht="15" hidden="false" customHeight="true" outlineLevel="0" collapsed="false">
      <c r="A72" s="7" t="s">
        <v>231</v>
      </c>
      <c r="B72" s="28" t="n">
        <f aca="false">$B$71*$B$13*Constants!$B$10</f>
        <v>195.67582782999</v>
      </c>
      <c r="C72" s="7" t="s">
        <v>189</v>
      </c>
      <c r="D72" s="6" t="s">
        <v>232</v>
      </c>
    </row>
    <row r="73" customFormat="false" ht="15" hidden="false" customHeight="true" outlineLevel="0" collapsed="false">
      <c r="A73" s="7" t="s">
        <v>233</v>
      </c>
      <c r="B73" s="29" t="n">
        <f aca="false">$B$72/60</f>
        <v>3.26126379716651</v>
      </c>
      <c r="C73" s="7" t="s">
        <v>234</v>
      </c>
      <c r="D73" s="6" t="s">
        <v>235</v>
      </c>
    </row>
    <row r="74" customFormat="false" ht="15" hidden="false" customHeight="true" outlineLevel="0" collapsed="false">
      <c r="A74" s="7" t="s">
        <v>236</v>
      </c>
      <c r="B74" s="26" t="n">
        <f aca="false">$B$66-$B$72/Constants!$B$11</f>
        <v>8.15948003239581</v>
      </c>
      <c r="C74" s="7" t="s">
        <v>223</v>
      </c>
      <c r="D74" s="6"/>
    </row>
    <row r="75" customFormat="false" ht="15" hidden="false" customHeight="true" outlineLevel="0" collapsed="false">
      <c r="A75" s="3"/>
      <c r="B75" s="3"/>
      <c r="C75" s="3"/>
      <c r="D75" s="3"/>
    </row>
    <row r="76" customFormat="false" ht="15" hidden="false" customHeight="true" outlineLevel="0" collapsed="false">
      <c r="A76" s="13" t="s">
        <v>237</v>
      </c>
      <c r="B76" s="13"/>
      <c r="C76" s="13"/>
      <c r="D76" s="13"/>
    </row>
    <row r="77" customFormat="false" ht="15" hidden="false" customHeight="true" outlineLevel="0" collapsed="false">
      <c r="A77" s="14" t="s">
        <v>130</v>
      </c>
      <c r="B77" s="14" t="s">
        <v>131</v>
      </c>
      <c r="C77" s="14" t="s">
        <v>132</v>
      </c>
      <c r="D77" s="14" t="s">
        <v>133</v>
      </c>
    </row>
    <row r="78" customFormat="false" ht="15" hidden="false" customHeight="true" outlineLevel="0" collapsed="false">
      <c r="A78" s="7" t="s">
        <v>238</v>
      </c>
      <c r="B78" s="24" t="n">
        <f aca="false">2*$B$34</f>
        <v>6337617.56280579</v>
      </c>
      <c r="C78" s="7" t="s">
        <v>180</v>
      </c>
      <c r="D78" s="6"/>
    </row>
    <row r="79" customFormat="false" ht="15" hidden="false" customHeight="true" outlineLevel="0" collapsed="false">
      <c r="A79" s="7" t="s">
        <v>239</v>
      </c>
      <c r="B79" s="25" t="n">
        <f aca="false">EXP($B$78/($B$19*Constants!$B$7))</f>
        <v>1.88671144195531</v>
      </c>
      <c r="C79" s="7" t="s">
        <v>217</v>
      </c>
      <c r="D79" s="6" t="s">
        <v>240</v>
      </c>
    </row>
    <row r="80" customFormat="false" ht="15" hidden="false" customHeight="true" outlineLevel="0" collapsed="false">
      <c r="A80" s="7" t="s">
        <v>241</v>
      </c>
      <c r="B80" s="24" t="n">
        <f aca="false">$B$31*($B$79-1)</f>
        <v>2128107460692.75</v>
      </c>
      <c r="C80" s="7" t="s">
        <v>176</v>
      </c>
      <c r="D80" s="6"/>
    </row>
    <row r="81" customFormat="false" ht="15" hidden="false" customHeight="true" outlineLevel="0" collapsed="false">
      <c r="A81" s="7" t="s">
        <v>242</v>
      </c>
      <c r="B81" s="24" t="n">
        <f aca="false">$B$80/1000</f>
        <v>2128107460.69275</v>
      </c>
      <c r="C81" s="7" t="s">
        <v>140</v>
      </c>
      <c r="D81" s="6" t="s">
        <v>243</v>
      </c>
    </row>
    <row r="82" customFormat="false" ht="15" hidden="false" customHeight="true" outlineLevel="0" collapsed="false">
      <c r="A82" s="3"/>
      <c r="B82" s="3"/>
      <c r="C82" s="3"/>
      <c r="D82" s="3"/>
    </row>
    <row r="83" customFormat="false" ht="15" hidden="false" customHeight="true" outlineLevel="0" collapsed="false">
      <c r="A83" s="13" t="s">
        <v>244</v>
      </c>
      <c r="B83" s="13"/>
      <c r="C83" s="13"/>
      <c r="D83" s="13"/>
    </row>
    <row r="84" customFormat="false" ht="15" hidden="false" customHeight="true" outlineLevel="0" collapsed="false">
      <c r="A84" s="14" t="s">
        <v>130</v>
      </c>
      <c r="B84" s="14" t="s">
        <v>131</v>
      </c>
      <c r="C84" s="14" t="s">
        <v>132</v>
      </c>
      <c r="D84" s="14" t="s">
        <v>133</v>
      </c>
    </row>
    <row r="85" customFormat="false" ht="15" hidden="false" customHeight="true" outlineLevel="0" collapsed="false">
      <c r="A85" s="7" t="s">
        <v>245</v>
      </c>
      <c r="B85" s="28" t="n">
        <f aca="false">$B$11/$B$20</f>
        <v>17.6470588235294</v>
      </c>
      <c r="C85" s="7" t="s">
        <v>246</v>
      </c>
      <c r="D85" s="6"/>
    </row>
    <row r="86" customFormat="false" ht="15" hidden="false" customHeight="true" outlineLevel="0" collapsed="false">
      <c r="A86" s="7" t="s">
        <v>247</v>
      </c>
      <c r="B86" s="28" t="n">
        <f aca="false">$B$13/$B$21</f>
        <v>14.8148148148148</v>
      </c>
      <c r="C86" s="7"/>
      <c r="D86" s="6"/>
    </row>
    <row r="87" customFormat="false" ht="15" hidden="false" customHeight="true" outlineLevel="0" collapsed="false">
      <c r="A87" s="7" t="s">
        <v>248</v>
      </c>
      <c r="B87" s="23" t="n">
        <f aca="false">$B$11*(1+$B$13/$B$20)</f>
        <v>8558.82352941177</v>
      </c>
      <c r="C87" s="7" t="s">
        <v>143</v>
      </c>
      <c r="D87" s="6" t="s">
        <v>249</v>
      </c>
    </row>
    <row r="88" customFormat="false" ht="15" hidden="false" customHeight="true" outlineLevel="0" collapsed="false">
      <c r="A88" s="3"/>
      <c r="B88" s="3"/>
      <c r="C88" s="3"/>
      <c r="D88" s="3"/>
    </row>
    <row r="89" customFormat="false" ht="15" hidden="false" customHeight="true" outlineLevel="0" collapsed="false">
      <c r="A89" s="13" t="s">
        <v>250</v>
      </c>
      <c r="B89" s="13"/>
      <c r="C89" s="13"/>
      <c r="D89" s="13"/>
    </row>
    <row r="90" customFormat="false" ht="15" hidden="false" customHeight="true" outlineLevel="0" collapsed="false">
      <c r="A90" s="14" t="s">
        <v>130</v>
      </c>
      <c r="B90" s="14" t="s">
        <v>131</v>
      </c>
      <c r="C90" s="14" t="s">
        <v>132</v>
      </c>
      <c r="D90" s="14" t="s">
        <v>133</v>
      </c>
    </row>
    <row r="91" customFormat="false" ht="15" hidden="false" customHeight="true" outlineLevel="0" collapsed="false">
      <c r="A91" s="7" t="s">
        <v>251</v>
      </c>
      <c r="B91" s="24" t="n">
        <f aca="false">Constants!$B$29*1000000*Constants!$B$20*$B$32</f>
        <v>6.69048769476E-005</v>
      </c>
      <c r="C91" s="7" t="s">
        <v>252</v>
      </c>
      <c r="D91" s="6"/>
    </row>
    <row r="92" customFormat="false" ht="15" hidden="false" customHeight="true" outlineLevel="0" collapsed="false">
      <c r="A92" s="7" t="s">
        <v>253</v>
      </c>
      <c r="B92" s="24" t="n">
        <f aca="false">PI()*$B$29^2</f>
        <v>28274333.8823081</v>
      </c>
      <c r="C92" s="7" t="s">
        <v>254</v>
      </c>
      <c r="D92" s="6"/>
    </row>
    <row r="93" customFormat="false" ht="15" hidden="false" customHeight="true" outlineLevel="0" collapsed="false">
      <c r="A93" s="7" t="s">
        <v>255</v>
      </c>
      <c r="B93" s="23" t="n">
        <f aca="false">$B$91*$B$92</f>
        <v>1891.69082917118</v>
      </c>
      <c r="C93" s="7" t="s">
        <v>176</v>
      </c>
      <c r="D93" s="6" t="s">
        <v>256</v>
      </c>
    </row>
    <row r="94" customFormat="false" ht="15" hidden="false" customHeight="true" outlineLevel="0" collapsed="false">
      <c r="A94" s="7" t="s">
        <v>257</v>
      </c>
      <c r="B94" s="28" t="n">
        <f aca="false">Constants!$B$30*$B$93</f>
        <v>18.9169082917118</v>
      </c>
      <c r="C94" s="7" t="s">
        <v>176</v>
      </c>
      <c r="D94" s="6"/>
    </row>
    <row r="95" customFormat="false" ht="15" hidden="false" customHeight="true" outlineLevel="0" collapsed="false">
      <c r="A95" s="7" t="s">
        <v>258</v>
      </c>
      <c r="B95" s="24" t="n">
        <f aca="false">0.5*$B$25*0.000001*$B$34^2</f>
        <v>5020674.54654805</v>
      </c>
      <c r="C95" s="7" t="s">
        <v>259</v>
      </c>
      <c r="D95" s="6"/>
    </row>
    <row r="96" customFormat="false" ht="23.25" hidden="false" customHeight="true" outlineLevel="0" collapsed="false">
      <c r="A96" s="7" t="s">
        <v>260</v>
      </c>
      <c r="B96" s="29" t="n">
        <f aca="false">$B$95/Constants!$B$25</f>
        <v>1.19997001590537</v>
      </c>
      <c r="C96" s="7" t="s">
        <v>261</v>
      </c>
      <c r="D96" s="6" t="s">
        <v>262</v>
      </c>
    </row>
  </sheetData>
  <mergeCells count="2">
    <mergeCell ref="A2:D2"/>
    <mergeCell ref="A56:D5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9"/>
    <col collapsed="false" customWidth="true" hidden="false" outlineLevel="0" max="3" min="3" style="1" width="11"/>
    <col collapsed="false" customWidth="true" hidden="false" outlineLevel="0" max="12" min="4" style="1" width="10"/>
    <col collapsed="false" customWidth="true" hidden="false" outlineLevel="0" max="17" min="13" style="1" width="11"/>
    <col collapsed="false" customWidth="true" hidden="false" outlineLevel="0" max="18" min="18" style="1" width="16"/>
    <col collapsed="false" customWidth="true" hidden="false" outlineLevel="0" max="19" min="19" style="1" width="8"/>
    <col collapsed="false" customWidth="true" hidden="false" outlineLevel="0" max="21" min="20" style="1" width="13"/>
    <col collapsed="false" customWidth="true" hidden="false" outlineLevel="0" max="23" min="22" style="1" width="12"/>
  </cols>
  <sheetData>
    <row r="1" customFormat="false" ht="18" hidden="false" customHeight="true" outlineLevel="0" collapsed="false">
      <c r="A1" s="2" t="s">
        <v>263</v>
      </c>
      <c r="B1" s="3"/>
      <c r="C1" s="3"/>
      <c r="D1" s="3"/>
      <c r="E1" s="3"/>
      <c r="F1" s="3"/>
      <c r="G1" s="3"/>
      <c r="H1" s="3"/>
      <c r="I1" s="3"/>
      <c r="J1" s="3"/>
      <c r="K1" s="3"/>
      <c r="L1" s="3"/>
      <c r="M1" s="3"/>
      <c r="N1" s="3"/>
      <c r="O1" s="3"/>
      <c r="P1" s="3"/>
      <c r="Q1" s="3"/>
      <c r="R1" s="3"/>
      <c r="S1" s="3"/>
      <c r="T1" s="3"/>
      <c r="U1" s="3"/>
      <c r="V1" s="3"/>
      <c r="W1" s="3"/>
    </row>
    <row r="2" customFormat="false" ht="31.5" hidden="false" customHeight="true" outlineLevel="0" collapsed="false">
      <c r="A2" s="4" t="s">
        <v>264</v>
      </c>
      <c r="B2" s="4"/>
      <c r="C2" s="4"/>
      <c r="D2" s="4"/>
      <c r="E2" s="4"/>
      <c r="F2" s="4"/>
      <c r="G2" s="4"/>
      <c r="H2" s="4"/>
      <c r="I2" s="4"/>
      <c r="J2" s="4"/>
      <c r="K2" s="4"/>
      <c r="L2" s="4"/>
      <c r="M2" s="4"/>
      <c r="N2" s="4"/>
      <c r="O2" s="4"/>
      <c r="P2" s="4"/>
      <c r="Q2" s="4"/>
      <c r="R2" s="4"/>
      <c r="S2" s="4"/>
      <c r="T2" s="4"/>
      <c r="U2" s="4"/>
      <c r="V2" s="4"/>
      <c r="W2" s="4"/>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row>
    <row r="4" customFormat="false" ht="57.75" hidden="false" customHeight="true" outlineLevel="0" collapsed="false">
      <c r="A4" s="8" t="s">
        <v>265</v>
      </c>
      <c r="B4" s="8" t="s">
        <v>266</v>
      </c>
      <c r="C4" s="8" t="s">
        <v>267</v>
      </c>
      <c r="D4" s="8" t="s">
        <v>268</v>
      </c>
      <c r="E4" s="8" t="s">
        <v>269</v>
      </c>
      <c r="F4" s="8" t="s">
        <v>270</v>
      </c>
      <c r="G4" s="8" t="s">
        <v>271</v>
      </c>
      <c r="H4" s="8" t="s">
        <v>272</v>
      </c>
      <c r="I4" s="8" t="s">
        <v>273</v>
      </c>
      <c r="J4" s="8" t="s">
        <v>274</v>
      </c>
      <c r="K4" s="8" t="s">
        <v>275</v>
      </c>
      <c r="L4" s="8" t="s">
        <v>276</v>
      </c>
      <c r="M4" s="8" t="s">
        <v>277</v>
      </c>
      <c r="N4" s="8" t="s">
        <v>278</v>
      </c>
      <c r="O4" s="8" t="s">
        <v>279</v>
      </c>
      <c r="P4" s="8" t="s">
        <v>280</v>
      </c>
      <c r="Q4" s="8" t="s">
        <v>281</v>
      </c>
      <c r="R4" s="8" t="s">
        <v>282</v>
      </c>
      <c r="S4" s="8" t="s">
        <v>283</v>
      </c>
      <c r="T4" s="8" t="s">
        <v>284</v>
      </c>
      <c r="U4" s="8" t="s">
        <v>285</v>
      </c>
      <c r="V4" s="8" t="s">
        <v>286</v>
      </c>
      <c r="W4" s="8" t="s">
        <v>287</v>
      </c>
    </row>
    <row r="5" customFormat="false" ht="15" hidden="false" customHeight="true" outlineLevel="0" collapsed="false">
      <c r="A5" s="34" t="s">
        <v>288</v>
      </c>
      <c r="B5" s="34" t="s">
        <v>289</v>
      </c>
      <c r="C5" s="35" t="n">
        <f aca="false">Chrysalis!$B$33</f>
        <v>4.22800333609846</v>
      </c>
      <c r="D5" s="36" t="n">
        <v>1</v>
      </c>
      <c r="E5" s="35" t="n">
        <f aca="false">Chrysalis!$B$36</f>
        <v>0.0105700083402462</v>
      </c>
      <c r="F5" s="37"/>
      <c r="G5" s="35" t="n">
        <f aca="false">Chrysalis!$B$19</f>
        <v>0.0333</v>
      </c>
      <c r="H5" s="38" t="str">
        <f aca="false">IF(B5="torch",Constants!$B$7/(F5*Constants!$B$8)/Constants!$B$10,"")</f>
        <v/>
      </c>
      <c r="I5" s="38" t="str">
        <f aca="false">IF(B5="torch",F5*Constants!$B$8*(C5*Constants!$B$12/2)/Constants!$B$7^2,"")</f>
        <v/>
      </c>
      <c r="J5" s="38" t="n">
        <f aca="false">IF(B5="torch",ACOSH(1+I5),ATANH(E5))</f>
        <v>0.0105704020116324</v>
      </c>
      <c r="K5" s="39" t="n">
        <f aca="false">TANH(J5)</f>
        <v>0.0105700083402462</v>
      </c>
      <c r="L5" s="38" t="n">
        <f aca="false">COSH(J5)</f>
        <v>1.00005586721953</v>
      </c>
      <c r="M5" s="40" t="n">
        <f aca="false">IF(B5="torch",2*H5*J5,C5/E5/L5)</f>
        <v>399.977654360578</v>
      </c>
      <c r="N5" s="40" t="n">
        <f aca="false">IF(B5="torch",2*H5*SINH(J5),C5/E5)</f>
        <v>400</v>
      </c>
      <c r="O5" s="40" t="n">
        <f aca="false">D5*M5</f>
        <v>399.977654360578</v>
      </c>
      <c r="P5" s="41" t="n">
        <f aca="false">D5*N5</f>
        <v>400</v>
      </c>
      <c r="Q5" s="38" t="n">
        <f aca="false">P5-O5</f>
        <v>0.022345639422042</v>
      </c>
      <c r="R5" s="42" t="str">
        <f aca="false">IF(Q5&lt;1/12,TEXT(Q5*365.25,"0.0")&amp;" days",IF(Q5&lt;1,TEXT(Q5*12,"0.0")&amp;" months",IF(Q5&lt;10,TEXT(Q5,"0.0")&amp;" years",TEXT(Q5,"#,##0")&amp;" years")))</f>
        <v>8.2 days</v>
      </c>
      <c r="S5" s="43" t="n">
        <f aca="false">2*D5</f>
        <v>2</v>
      </c>
      <c r="T5" s="44" t="n">
        <f aca="false">EXP(S5*J5/G5)</f>
        <v>1.88675605175049</v>
      </c>
      <c r="U5" s="44" t="n">
        <f aca="false">T5-1</f>
        <v>0.886756051750485</v>
      </c>
      <c r="V5" s="38" t="n">
        <f aca="false">IF(D5=1,C5,0)</f>
        <v>4.22800333609846</v>
      </c>
      <c r="W5" s="38" t="n">
        <f aca="false">V5*Constants!$B$12/Constants!$B$7/Constants!$B$10</f>
        <v>4.22800333609846</v>
      </c>
    </row>
    <row r="6" customFormat="false" ht="15" hidden="false" customHeight="true" outlineLevel="0" collapsed="false">
      <c r="A6" s="34" t="s">
        <v>290</v>
      </c>
      <c r="B6" s="34" t="s">
        <v>289</v>
      </c>
      <c r="C6" s="45" t="n">
        <v>4.2465</v>
      </c>
      <c r="D6" s="36" t="n">
        <v>1</v>
      </c>
      <c r="E6" s="45" t="n">
        <v>0.1</v>
      </c>
      <c r="F6" s="37"/>
      <c r="G6" s="45" t="n">
        <v>0.0333</v>
      </c>
      <c r="H6" s="38" t="str">
        <f aca="false">IF(B6="torch",Constants!$B$7/(F6*Constants!$B$8)/Constants!$B$10,"")</f>
        <v/>
      </c>
      <c r="I6" s="38" t="str">
        <f aca="false">IF(B6="torch",F6*Constants!$B$8*(C6*Constants!$B$12/2)/Constants!$B$7^2,"")</f>
        <v/>
      </c>
      <c r="J6" s="38" t="n">
        <f aca="false">IF(B6="torch",ACOSH(1+I6),ATANH(E6))</f>
        <v>0.100335347731076</v>
      </c>
      <c r="K6" s="39" t="n">
        <f aca="false">TANH(J6)</f>
        <v>0.1</v>
      </c>
      <c r="L6" s="38" t="n">
        <f aca="false">COSH(J6)</f>
        <v>1.00503781525921</v>
      </c>
      <c r="M6" s="40" t="n">
        <f aca="false">IF(B6="torch",2*H6*J6,C6/E6/L6)</f>
        <v>42.2521415167326</v>
      </c>
      <c r="N6" s="40" t="n">
        <f aca="false">IF(B6="torch",2*H6*SINH(J6),C6/E6)</f>
        <v>42.465</v>
      </c>
      <c r="O6" s="40" t="n">
        <f aca="false">D6*M6</f>
        <v>42.2521415167326</v>
      </c>
      <c r="P6" s="41" t="n">
        <f aca="false">D6*N6</f>
        <v>42.465</v>
      </c>
      <c r="Q6" s="38" t="n">
        <f aca="false">P6-O6</f>
        <v>0.212858483267382</v>
      </c>
      <c r="R6" s="42" t="str">
        <f aca="false">IF(Q6&lt;1/12,TEXT(Q6*365.25,"0.0")&amp;" days",IF(Q6&lt;1,TEXT(Q6*12,"0.0")&amp;" months",IF(Q6&lt;10,TEXT(Q6,"0.0")&amp;" years",TEXT(Q6,"#,##0")&amp;" years")))</f>
        <v>2.6 months</v>
      </c>
      <c r="S6" s="43" t="n">
        <f aca="false">2*D6</f>
        <v>2</v>
      </c>
      <c r="T6" s="44" t="n">
        <f aca="false">EXP(S6*J6/G6)</f>
        <v>414.116365689509</v>
      </c>
      <c r="U6" s="44" t="n">
        <f aca="false">T6-1</f>
        <v>413.116365689509</v>
      </c>
      <c r="V6" s="38" t="n">
        <f aca="false">IF(D6=1,C6,0)</f>
        <v>4.2465</v>
      </c>
      <c r="W6" s="38" t="n">
        <f aca="false">V6*Constants!$B$12/Constants!$B$7/Constants!$B$10</f>
        <v>4.2465</v>
      </c>
    </row>
    <row r="7" customFormat="false" ht="15" hidden="false" customHeight="true" outlineLevel="0" collapsed="false">
      <c r="A7" s="34" t="s">
        <v>291</v>
      </c>
      <c r="B7" s="34" t="s">
        <v>292</v>
      </c>
      <c r="C7" s="45" t="n">
        <v>4.2465</v>
      </c>
      <c r="D7" s="36" t="n">
        <v>1</v>
      </c>
      <c r="E7" s="37"/>
      <c r="F7" s="46" t="n">
        <v>1</v>
      </c>
      <c r="G7" s="45" t="n">
        <v>1</v>
      </c>
      <c r="H7" s="38" t="n">
        <f aca="false">IF(B7="torch",Constants!$B$7/(F7*Constants!$B$8)/Constants!$B$10,"")</f>
        <v>0.968715079572289</v>
      </c>
      <c r="I7" s="38" t="n">
        <f aca="false">IF(B7="torch",F7*Constants!$B$8*(C7*Constants!$B$12/2)/Constants!$B$7^2,"")</f>
        <v>2.19182094381917</v>
      </c>
      <c r="J7" s="38" t="n">
        <f aca="false">IF(B7="torch",ACOSH(1+I7),ATANH(E7))</f>
        <v>1.82824347660325</v>
      </c>
      <c r="K7" s="39" t="n">
        <f aca="false">TANH(J7)</f>
        <v>0.949653947260348</v>
      </c>
      <c r="L7" s="38" t="n">
        <f aca="false">COSH(J7)</f>
        <v>3.19182094381917</v>
      </c>
      <c r="M7" s="40" t="n">
        <f aca="false">IF(B7="torch",2*H7*J7,C7/E7/L7)</f>
        <v>3.54209404983047</v>
      </c>
      <c r="N7" s="40" t="n">
        <f aca="false">IF(B7="torch",2*H7*SINH(J7),C7/E7)</f>
        <v>5.87259368521396</v>
      </c>
      <c r="O7" s="40" t="n">
        <f aca="false">D7*M7</f>
        <v>3.54209404983047</v>
      </c>
      <c r="P7" s="41" t="n">
        <f aca="false">D7*N7</f>
        <v>5.87259368521396</v>
      </c>
      <c r="Q7" s="38" t="n">
        <f aca="false">P7-O7</f>
        <v>2.33049963538349</v>
      </c>
      <c r="R7" s="42" t="str">
        <f aca="false">IF(Q7&lt;1/12,TEXT(Q7*365.25,"0.0")&amp;" days",IF(Q7&lt;1,TEXT(Q7*12,"0.0")&amp;" months",IF(Q7&lt;10,TEXT(Q7,"0.0")&amp;" years",TEXT(Q7,"#,##0")&amp;" years")))</f>
        <v>2.3 years</v>
      </c>
      <c r="S7" s="43" t="n">
        <f aca="false">2*D7</f>
        <v>2</v>
      </c>
      <c r="T7" s="44" t="n">
        <f aca="false">EXP(S7*J7/G7)</f>
        <v>38.7250606783882</v>
      </c>
      <c r="U7" s="44" t="n">
        <f aca="false">T7-1</f>
        <v>37.7250606783882</v>
      </c>
      <c r="V7" s="38" t="n">
        <f aca="false">IF(D7=1,C7,0)</f>
        <v>4.2465</v>
      </c>
      <c r="W7" s="38" t="n">
        <f aca="false">V7*Constants!$B$12/Constants!$B$7/Constants!$B$10</f>
        <v>4.2465</v>
      </c>
    </row>
    <row r="8" customFormat="false" ht="15" hidden="false" customHeight="true" outlineLevel="0" collapsed="false">
      <c r="A8" s="34" t="s">
        <v>293</v>
      </c>
      <c r="B8" s="34" t="s">
        <v>292</v>
      </c>
      <c r="C8" s="45" t="n">
        <v>1000</v>
      </c>
      <c r="D8" s="36" t="n">
        <v>2</v>
      </c>
      <c r="E8" s="37"/>
      <c r="F8" s="46" t="n">
        <v>1</v>
      </c>
      <c r="G8" s="45" t="n">
        <v>1</v>
      </c>
      <c r="H8" s="38" t="n">
        <f aca="false">IF(B8="torch",Constants!$B$7/(F8*Constants!$B$8)/Constants!$B$10,"")</f>
        <v>0.968715079572289</v>
      </c>
      <c r="I8" s="38" t="n">
        <f aca="false">IF(B8="torch",F8*Constants!$B$8*(C8*Constants!$B$12/2)/Constants!$B$7^2,"")</f>
        <v>516.147637776798</v>
      </c>
      <c r="J8" s="38" t="n">
        <f aca="false">IF(B8="torch",ACOSH(1+I8),ATANH(E8))</f>
        <v>6.94147464581694</v>
      </c>
      <c r="K8" s="39" t="n">
        <f aca="false">TANH(J8)</f>
        <v>0.999998130431768</v>
      </c>
      <c r="L8" s="38" t="n">
        <f aca="false">COSH(J8)</f>
        <v>517.147637776798</v>
      </c>
      <c r="M8" s="40" t="n">
        <f aca="false">IF(B8="torch",2*H8*J8,C8/E8/L8)</f>
        <v>13.4486223277432</v>
      </c>
      <c r="N8" s="40" t="n">
        <f aca="false">IF(B8="torch",2*H8*SINH(J8),C8/E8)</f>
        <v>1001.93555696876</v>
      </c>
      <c r="O8" s="40" t="n">
        <f aca="false">D8*M8</f>
        <v>26.8972446554863</v>
      </c>
      <c r="P8" s="41" t="n">
        <f aca="false">D8*N8</f>
        <v>2003.87111393751</v>
      </c>
      <c r="Q8" s="38" t="n">
        <f aca="false">P8-O8</f>
        <v>1976.97386928202</v>
      </c>
      <c r="R8" s="42" t="str">
        <f aca="false">IF(Q8&lt;1/12,TEXT(Q8*365.25,"0.0")&amp;" days",IF(Q8&lt;1,TEXT(Q8*12,"0.0")&amp;" months",IF(Q8&lt;10,TEXT(Q8,"0.0")&amp;" years",TEXT(Q8,"#,##0")&amp;" years")))</f>
        <v>1,977 years</v>
      </c>
      <c r="S8" s="43" t="n">
        <f aca="false">2*D8</f>
        <v>4</v>
      </c>
      <c r="T8" s="44" t="n">
        <f aca="false">EXP(S8*J8/G8)</f>
        <v>1144396549805.61</v>
      </c>
      <c r="U8" s="44" t="n">
        <f aca="false">T8-1</f>
        <v>1144396549804.61</v>
      </c>
      <c r="V8" s="38" t="n">
        <f aca="false">IF(D8=1,C8,0)</f>
        <v>0</v>
      </c>
      <c r="W8" s="38" t="n">
        <f aca="false">V8*Constants!$B$12/Constants!$B$7/Constants!$B$10</f>
        <v>0</v>
      </c>
    </row>
    <row r="9" customFormat="false" ht="15" hidden="false" customHeight="true" outlineLevel="0" collapsed="false">
      <c r="A9" s="34" t="s">
        <v>294</v>
      </c>
      <c r="B9" s="34" t="s">
        <v>292</v>
      </c>
      <c r="C9" s="45" t="n">
        <v>26000</v>
      </c>
      <c r="D9" s="36" t="n">
        <v>1</v>
      </c>
      <c r="E9" s="37"/>
      <c r="F9" s="46" t="n">
        <v>1</v>
      </c>
      <c r="G9" s="45" t="n">
        <v>1</v>
      </c>
      <c r="H9" s="38" t="n">
        <f aca="false">IF(B9="torch",Constants!$B$7/(F9*Constants!$B$8)/Constants!$B$10,"")</f>
        <v>0.968715079572289</v>
      </c>
      <c r="I9" s="38" t="n">
        <f aca="false">IF(B9="torch",F9*Constants!$B$8*(C9*Constants!$B$12/2)/Constants!$B$7^2,"")</f>
        <v>13419.8385821968</v>
      </c>
      <c r="J9" s="38" t="n">
        <f aca="false">IF(B9="torch",ACOSH(1+I9),ATANH(E9))</f>
        <v>10.1977110752414</v>
      </c>
      <c r="K9" s="39" t="n">
        <f aca="false">TANH(J9)</f>
        <v>0.999999997224056</v>
      </c>
      <c r="L9" s="38" t="n">
        <f aca="false">COSH(J9)</f>
        <v>13420.8385821968</v>
      </c>
      <c r="M9" s="40" t="n">
        <f aca="false">IF(B9="torch",2*H9*J9,C9/E9/L9)</f>
        <v>19.7573529914154</v>
      </c>
      <c r="N9" s="40" t="n">
        <f aca="false">IF(B9="torch",2*H9*SINH(J9),C9/E9)</f>
        <v>26001.9373579792</v>
      </c>
      <c r="O9" s="40" t="n">
        <f aca="false">D9*M9</f>
        <v>19.7573529914154</v>
      </c>
      <c r="P9" s="41" t="n">
        <f aca="false">D9*N9</f>
        <v>26001.9373579792</v>
      </c>
      <c r="Q9" s="38" t="n">
        <f aca="false">P9-O9</f>
        <v>25982.1800049878</v>
      </c>
      <c r="R9" s="42" t="str">
        <f aca="false">IF(Q9&lt;1/12,TEXT(Q9*365.25,"0.0")&amp;" days",IF(Q9&lt;1,TEXT(Q9*12,"0.0")&amp;" months",IF(Q9&lt;10,TEXT(Q9,"0.0")&amp;" years",TEXT(Q9,"#,##0")&amp;" years")))</f>
        <v>25,982 years</v>
      </c>
      <c r="S9" s="43" t="n">
        <f aca="false">2*D9</f>
        <v>2</v>
      </c>
      <c r="T9" s="44" t="n">
        <f aca="false">EXP(S9*J9/G9)</f>
        <v>720475630.997525</v>
      </c>
      <c r="U9" s="44" t="n">
        <f aca="false">T9-1</f>
        <v>720475629.997525</v>
      </c>
      <c r="V9" s="38" t="n">
        <f aca="false">IF(D9=1,C9,0)</f>
        <v>26000</v>
      </c>
      <c r="W9" s="38" t="n">
        <f aca="false">V9*Constants!$B$12/Constants!$B$7/Constants!$B$10</f>
        <v>26000</v>
      </c>
    </row>
    <row r="10" customFormat="false" ht="15" hidden="false" customHeight="true" outlineLevel="0" collapsed="false">
      <c r="A10" s="34" t="s">
        <v>295</v>
      </c>
      <c r="B10" s="34" t="s">
        <v>292</v>
      </c>
      <c r="C10" s="45" t="n">
        <v>100</v>
      </c>
      <c r="D10" s="36" t="n">
        <v>1</v>
      </c>
      <c r="E10" s="37"/>
      <c r="F10" s="46" t="n">
        <v>0.5</v>
      </c>
      <c r="G10" s="45" t="n">
        <v>1</v>
      </c>
      <c r="H10" s="38" t="n">
        <f aca="false">IF(B10="torch",Constants!$B$7/(F10*Constants!$B$8)/Constants!$B$10,"")</f>
        <v>1.93743015914458</v>
      </c>
      <c r="I10" s="38" t="n">
        <f aca="false">IF(B10="torch",F10*Constants!$B$8*(C10*Constants!$B$12/2)/Constants!$B$7^2,"")</f>
        <v>25.8073818888399</v>
      </c>
      <c r="J10" s="38" t="n">
        <f aca="false">IF(B10="torch",ACOSH(1+I10),ATANH(E10))</f>
        <v>3.98147641069221</v>
      </c>
      <c r="K10" s="39" t="n">
        <f aca="false">TANH(J10)</f>
        <v>0.999303994993142</v>
      </c>
      <c r="L10" s="38" t="n">
        <f aca="false">COSH(J10)</f>
        <v>26.8073818888399</v>
      </c>
      <c r="M10" s="40" t="n">
        <f aca="false">IF(B10="torch",2*H10*J10,C10/E10/L10)</f>
        <v>15.4276649519956</v>
      </c>
      <c r="N10" s="40" t="n">
        <f aca="false">IF(B10="torch",2*H10*SINH(J10),C10/E10)</f>
        <v>103.802562895421</v>
      </c>
      <c r="O10" s="40" t="n">
        <f aca="false">D10*M10</f>
        <v>15.4276649519956</v>
      </c>
      <c r="P10" s="41" t="n">
        <f aca="false">D10*N10</f>
        <v>103.802562895421</v>
      </c>
      <c r="Q10" s="38" t="n">
        <f aca="false">P10-O10</f>
        <v>88.3748979434254</v>
      </c>
      <c r="R10" s="42" t="str">
        <f aca="false">IF(Q10&lt;1/12,TEXT(Q10*365.25,"0.0")&amp;" days",IF(Q10&lt;1,TEXT(Q10*12,"0.0")&amp;" months",IF(Q10&lt;10,TEXT(Q10,"0.0")&amp;" years",TEXT(Q10,"#,##0")&amp;" years")))</f>
        <v>88 years</v>
      </c>
      <c r="S10" s="43" t="n">
        <f aca="false">2*D10</f>
        <v>2</v>
      </c>
      <c r="T10" s="44" t="n">
        <f aca="false">EXP(S10*J10/G10)</f>
        <v>2872.54254681276</v>
      </c>
      <c r="U10" s="44" t="n">
        <f aca="false">T10-1</f>
        <v>2871.54254681276</v>
      </c>
      <c r="V10" s="38" t="n">
        <f aca="false">IF(D10=1,C10,0)</f>
        <v>100</v>
      </c>
      <c r="W10" s="38" t="n">
        <f aca="false">V10*Constants!$B$12/Constants!$B$7/Constants!$B$10</f>
        <v>100</v>
      </c>
    </row>
    <row r="11" customFormat="false" ht="15" hidden="false" customHeight="true" outlineLevel="0" collapsed="false">
      <c r="A11" s="34" t="s">
        <v>296</v>
      </c>
      <c r="B11" s="34" t="s">
        <v>289</v>
      </c>
      <c r="C11" s="45" t="n">
        <v>4.2465</v>
      </c>
      <c r="D11" s="36" t="n">
        <v>1</v>
      </c>
      <c r="E11" s="45" t="n">
        <v>0.5</v>
      </c>
      <c r="F11" s="37"/>
      <c r="G11" s="45" t="n">
        <v>1</v>
      </c>
      <c r="H11" s="38" t="str">
        <f aca="false">IF(B11="torch",Constants!$B$7/(F11*Constants!$B$8)/Constants!$B$10,"")</f>
        <v/>
      </c>
      <c r="I11" s="38" t="str">
        <f aca="false">IF(B11="torch",F11*Constants!$B$8*(C11*Constants!$B$12/2)/Constants!$B$7^2,"")</f>
        <v/>
      </c>
      <c r="J11" s="38" t="n">
        <f aca="false">IF(B11="torch",ACOSH(1+I11),ATANH(E11))</f>
        <v>0.549306144334055</v>
      </c>
      <c r="K11" s="39" t="n">
        <f aca="false">TANH(J11)</f>
        <v>0.5</v>
      </c>
      <c r="L11" s="38" t="n">
        <f aca="false">COSH(J11)</f>
        <v>1.15470053837925</v>
      </c>
      <c r="M11" s="40" t="n">
        <f aca="false">IF(B11="torch",2*H11*J11,C11/E11/L11)</f>
        <v>7.35515375434124</v>
      </c>
      <c r="N11" s="40" t="n">
        <f aca="false">IF(B11="torch",2*H11*SINH(J11),C11/E11)</f>
        <v>8.493</v>
      </c>
      <c r="O11" s="40" t="n">
        <f aca="false">D11*M11</f>
        <v>7.35515375434124</v>
      </c>
      <c r="P11" s="41" t="n">
        <f aca="false">D11*N11</f>
        <v>8.493</v>
      </c>
      <c r="Q11" s="38" t="n">
        <f aca="false">P11-O11</f>
        <v>1.13784624565876</v>
      </c>
      <c r="R11" s="42" t="str">
        <f aca="false">IF(Q11&lt;1/12,TEXT(Q11*365.25,"0.0")&amp;" days",IF(Q11&lt;1,TEXT(Q11*12,"0.0")&amp;" months",IF(Q11&lt;10,TEXT(Q11,"0.0")&amp;" years",TEXT(Q11,"#,##0")&amp;" years")))</f>
        <v>1.1 years</v>
      </c>
      <c r="S11" s="43" t="n">
        <f aca="false">2*D11</f>
        <v>2</v>
      </c>
      <c r="T11" s="44" t="n">
        <f aca="false">EXP(S11*J11/G11)</f>
        <v>3</v>
      </c>
      <c r="U11" s="44" t="n">
        <f aca="false">T11-1</f>
        <v>2</v>
      </c>
      <c r="V11" s="38" t="n">
        <f aca="false">IF(D11=1,C11,0)</f>
        <v>4.2465</v>
      </c>
      <c r="W11" s="38" t="n">
        <f aca="false">V11*Constants!$B$12/Constants!$B$7/Constants!$B$10</f>
        <v>4.2465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row>
    <row r="13" customFormat="false" ht="30" hidden="false" customHeight="true" outlineLevel="0" collapsed="false">
      <c r="A13" s="4" t="s">
        <v>297</v>
      </c>
      <c r="B13" s="4"/>
      <c r="C13" s="4"/>
      <c r="D13" s="4"/>
      <c r="E13" s="4"/>
      <c r="F13" s="4"/>
      <c r="G13" s="4"/>
      <c r="H13" s="4"/>
      <c r="I13" s="4"/>
      <c r="J13" s="4"/>
      <c r="K13" s="4"/>
      <c r="L13" s="4"/>
      <c r="M13" s="4"/>
      <c r="N13" s="4"/>
      <c r="O13" s="4"/>
      <c r="P13" s="4"/>
      <c r="Q13" s="4"/>
      <c r="R13" s="4"/>
      <c r="S13" s="4"/>
      <c r="T13" s="4"/>
      <c r="U13" s="4"/>
      <c r="V13" s="4"/>
      <c r="W13" s="4"/>
    </row>
    <row r="14" customFormat="false" ht="30" hidden="false" customHeight="true" outlineLevel="0" collapsed="false">
      <c r="A14" s="4" t="s">
        <v>298</v>
      </c>
      <c r="B14" s="4"/>
      <c r="C14" s="4"/>
      <c r="D14" s="4"/>
      <c r="E14" s="4"/>
      <c r="F14" s="4"/>
      <c r="G14" s="4"/>
      <c r="H14" s="4"/>
      <c r="I14" s="4"/>
      <c r="J14" s="4"/>
      <c r="K14" s="4"/>
      <c r="L14" s="4"/>
      <c r="M14" s="4"/>
      <c r="N14" s="4"/>
      <c r="O14" s="4"/>
      <c r="P14" s="4"/>
      <c r="Q14" s="4"/>
      <c r="R14" s="4"/>
      <c r="S14" s="4"/>
      <c r="T14" s="4"/>
      <c r="U14" s="4"/>
      <c r="V14" s="4"/>
      <c r="W14" s="4"/>
    </row>
    <row r="15" customFormat="false" ht="30" hidden="false" customHeight="true" outlineLevel="0" collapsed="false">
      <c r="A15" s="4" t="s">
        <v>299</v>
      </c>
      <c r="B15" s="4"/>
      <c r="C15" s="4"/>
      <c r="D15" s="4"/>
      <c r="E15" s="4"/>
      <c r="F15" s="4"/>
      <c r="G15" s="4"/>
      <c r="H15" s="4"/>
      <c r="I15" s="4"/>
      <c r="J15" s="4"/>
      <c r="K15" s="4"/>
      <c r="L15" s="4"/>
      <c r="M15" s="4"/>
      <c r="N15" s="4"/>
      <c r="O15" s="4"/>
      <c r="P15" s="4"/>
      <c r="Q15" s="4"/>
      <c r="R15" s="4"/>
      <c r="S15" s="4"/>
      <c r="T15" s="4"/>
      <c r="U15" s="4"/>
      <c r="V15" s="4"/>
      <c r="W15" s="4"/>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row>
    <row r="17" customFormat="false" ht="15" hidden="false" customHeight="true" outlineLevel="0" collapsed="false">
      <c r="A17" s="47" t="s">
        <v>300</v>
      </c>
      <c r="B17" s="3"/>
      <c r="C17" s="3"/>
      <c r="D17" s="3"/>
      <c r="E17" s="3"/>
      <c r="F17" s="3"/>
      <c r="G17" s="3"/>
      <c r="H17" s="3"/>
      <c r="I17" s="3"/>
      <c r="J17" s="3"/>
      <c r="K17" s="3"/>
      <c r="L17" s="3"/>
      <c r="M17" s="3"/>
      <c r="N17" s="3"/>
      <c r="O17" s="3"/>
      <c r="P17" s="3"/>
      <c r="Q17" s="3"/>
      <c r="R17" s="3"/>
      <c r="S17" s="3"/>
      <c r="T17" s="3"/>
      <c r="U17" s="3"/>
      <c r="V17" s="3"/>
      <c r="W17" s="3"/>
    </row>
    <row r="18" customFormat="false" ht="30" hidden="false" customHeight="true" outlineLevel="0" collapsed="false">
      <c r="A18" s="9" t="s">
        <v>301</v>
      </c>
      <c r="B18" s="9" t="s">
        <v>302</v>
      </c>
      <c r="C18" s="9" t="s">
        <v>303</v>
      </c>
      <c r="D18" s="9" t="s">
        <v>281</v>
      </c>
      <c r="E18" s="3"/>
      <c r="F18" s="3"/>
      <c r="G18" s="3"/>
      <c r="H18" s="3"/>
      <c r="I18" s="3"/>
      <c r="J18" s="3"/>
      <c r="K18" s="3"/>
      <c r="L18" s="3"/>
      <c r="M18" s="3"/>
      <c r="N18" s="3"/>
      <c r="O18" s="3"/>
      <c r="P18" s="3"/>
      <c r="Q18" s="3"/>
      <c r="R18" s="3"/>
      <c r="S18" s="3"/>
      <c r="T18" s="3"/>
      <c r="U18" s="3"/>
      <c r="V18" s="3"/>
      <c r="W18" s="3"/>
    </row>
    <row r="19" customFormat="false" ht="15" hidden="false" customHeight="true" outlineLevel="0" collapsed="false">
      <c r="A19" s="48" t="n">
        <v>1</v>
      </c>
      <c r="B19" s="29" t="n">
        <f aca="false">2*(Constants!$B$7/Constants!$B$8/Constants!$B$10)*ACOSH(1+Constants!$B$8*(A19*Constants!$B$12/2)/Constants!$B$7^2)</f>
        <v>1.89234377986164</v>
      </c>
      <c r="C19" s="49" t="n">
        <f aca="false">2*(Constants!$B$7/Constants!$B$8/Constants!$B$10)*SINH(ACOSH(1+Constants!$B$8*(A19*Constants!$B$12/2)/Constants!$B$7^2))</f>
        <v>2.20790858467672</v>
      </c>
      <c r="D19" s="49" t="n">
        <f aca="false">C19-B19</f>
        <v>0.315564804815079</v>
      </c>
      <c r="E19" s="3"/>
      <c r="F19" s="3"/>
      <c r="G19" s="3"/>
      <c r="H19" s="3"/>
      <c r="I19" s="3"/>
      <c r="J19" s="3"/>
      <c r="K19" s="3"/>
      <c r="L19" s="3"/>
      <c r="M19" s="3"/>
      <c r="N19" s="3"/>
      <c r="O19" s="3"/>
      <c r="P19" s="3"/>
      <c r="Q19" s="3"/>
      <c r="R19" s="3"/>
      <c r="S19" s="3"/>
      <c r="T19" s="3"/>
      <c r="U19" s="3"/>
      <c r="V19" s="3"/>
      <c r="W19" s="3"/>
    </row>
    <row r="20" customFormat="false" ht="15" hidden="false" customHeight="true" outlineLevel="0" collapsed="false">
      <c r="A20" s="48" t="n">
        <v>2</v>
      </c>
      <c r="B20" s="29" t="n">
        <f aca="false">2*(Constants!$B$7/Constants!$B$8/Constants!$B$10)*ACOSH(1+Constants!$B$8*(A20*Constants!$B$12/2)/Constants!$B$7^2)</f>
        <v>2.58725593476061</v>
      </c>
      <c r="C20" s="49" t="n">
        <f aca="false">2*(Constants!$B$7/Constants!$B$8/Constants!$B$10)*SINH(ACOSH(1+Constants!$B$8*(A20*Constants!$B$12/2)/Constants!$B$7^2))</f>
        <v>3.42778655061518</v>
      </c>
      <c r="D20" s="49" t="n">
        <f aca="false">C20-B20</f>
        <v>0.840530615854569</v>
      </c>
      <c r="E20" s="3"/>
      <c r="F20" s="3"/>
      <c r="G20" s="3"/>
      <c r="H20" s="3"/>
      <c r="I20" s="3"/>
      <c r="J20" s="3"/>
      <c r="K20" s="3"/>
      <c r="L20" s="3"/>
      <c r="M20" s="3"/>
      <c r="N20" s="3"/>
      <c r="O20" s="3"/>
      <c r="P20" s="3"/>
      <c r="Q20" s="3"/>
      <c r="R20" s="3"/>
      <c r="S20" s="3"/>
      <c r="T20" s="3"/>
      <c r="U20" s="3"/>
      <c r="V20" s="3"/>
      <c r="W20" s="3"/>
    </row>
    <row r="21" customFormat="false" ht="15" hidden="false" customHeight="true" outlineLevel="0" collapsed="false">
      <c r="A21" s="48" t="n">
        <v>4.2465</v>
      </c>
      <c r="B21" s="29" t="n">
        <f aca="false">2*(Constants!$B$7/Constants!$B$8/Constants!$B$10)*ACOSH(1+Constants!$B$8*(A21*Constants!$B$12/2)/Constants!$B$7^2)</f>
        <v>3.54209404983047</v>
      </c>
      <c r="C21" s="49" t="n">
        <f aca="false">2*(Constants!$B$7/Constants!$B$8/Constants!$B$10)*SINH(ACOSH(1+Constants!$B$8*(A21*Constants!$B$12/2)/Constants!$B$7^2))</f>
        <v>5.87259368521396</v>
      </c>
      <c r="D21" s="49" t="n">
        <f aca="false">C21-B21</f>
        <v>2.33049963538349</v>
      </c>
      <c r="E21" s="3"/>
      <c r="F21" s="3"/>
      <c r="G21" s="3"/>
      <c r="H21" s="3"/>
      <c r="I21" s="3"/>
      <c r="J21" s="3"/>
      <c r="K21" s="3"/>
      <c r="L21" s="3"/>
      <c r="M21" s="3"/>
      <c r="N21" s="3"/>
      <c r="O21" s="3"/>
      <c r="P21" s="3"/>
      <c r="Q21" s="3"/>
      <c r="R21" s="3"/>
      <c r="S21" s="3"/>
      <c r="T21" s="3"/>
      <c r="U21" s="3"/>
      <c r="V21" s="3"/>
      <c r="W21" s="3"/>
    </row>
    <row r="22" customFormat="false" ht="15" hidden="false" customHeight="true" outlineLevel="0" collapsed="false">
      <c r="A22" s="48" t="n">
        <v>10</v>
      </c>
      <c r="B22" s="29" t="n">
        <f aca="false">2*(Constants!$B$7/Constants!$B$8/Constants!$B$10)*ACOSH(1+Constants!$B$8*(A22*Constants!$B$12/2)/Constants!$B$7^2)</f>
        <v>4.85289901413453</v>
      </c>
      <c r="C22" s="49" t="n">
        <f aca="false">2*(Constants!$B$7/Constants!$B$8/Constants!$B$10)*SINH(ACOSH(1+Constants!$B$8*(A22*Constants!$B$12/2)/Constants!$B$7^2))</f>
        <v>11.7791596976563</v>
      </c>
      <c r="D22" s="49" t="n">
        <f aca="false">C22-B22</f>
        <v>6.92626068352181</v>
      </c>
      <c r="E22" s="3"/>
      <c r="F22" s="3"/>
      <c r="G22" s="3"/>
      <c r="H22" s="3"/>
      <c r="I22" s="3"/>
      <c r="J22" s="3"/>
      <c r="K22" s="3"/>
      <c r="L22" s="3"/>
      <c r="M22" s="3"/>
      <c r="N22" s="3"/>
      <c r="O22" s="3"/>
      <c r="P22" s="3"/>
      <c r="Q22" s="3"/>
      <c r="R22" s="3"/>
      <c r="S22" s="3"/>
      <c r="T22" s="3"/>
      <c r="U22" s="3"/>
      <c r="V22" s="3"/>
      <c r="W22" s="3"/>
    </row>
    <row r="23" customFormat="false" ht="15" hidden="false" customHeight="true" outlineLevel="0" collapsed="false">
      <c r="A23" s="48" t="n">
        <v>30</v>
      </c>
      <c r="B23" s="29" t="n">
        <f aca="false">2*(Constants!$B$7/Constants!$B$8/Constants!$B$10)*ACOSH(1+Constants!$B$8*(A23*Constants!$B$12/2)/Constants!$B$7^2)</f>
        <v>6.77062508823038</v>
      </c>
      <c r="C23" s="49" t="n">
        <f aca="false">2*(Constants!$B$7/Constants!$B$8/Constants!$B$10)*SINH(ACOSH(1+Constants!$B$8*(A23*Constants!$B$12/2)/Constants!$B$7^2))</f>
        <v>31.8786105335329</v>
      </c>
      <c r="D23" s="49" t="n">
        <f aca="false">C23-B23</f>
        <v>25.1079854453025</v>
      </c>
      <c r="E23" s="3"/>
      <c r="F23" s="3"/>
      <c r="G23" s="3"/>
      <c r="H23" s="3"/>
      <c r="I23" s="3"/>
      <c r="J23" s="3"/>
      <c r="K23" s="3"/>
      <c r="L23" s="3"/>
      <c r="M23" s="3"/>
      <c r="N23" s="3"/>
      <c r="O23" s="3"/>
      <c r="P23" s="3"/>
      <c r="Q23" s="3"/>
      <c r="R23" s="3"/>
      <c r="S23" s="3"/>
      <c r="T23" s="3"/>
      <c r="U23" s="3"/>
      <c r="V23" s="3"/>
      <c r="W23" s="3"/>
    </row>
    <row r="24" customFormat="false" ht="15" hidden="false" customHeight="true" outlineLevel="0" collapsed="false">
      <c r="A24" s="48" t="n">
        <v>100</v>
      </c>
      <c r="B24" s="29" t="n">
        <f aca="false">2*(Constants!$B$7/Constants!$B$8/Constants!$B$10)*ACOSH(1+Constants!$B$8*(A24*Constants!$B$12/2)/Constants!$B$7^2)</f>
        <v>9.02077870825562</v>
      </c>
      <c r="C24" s="49" t="n">
        <f aca="false">2*(Constants!$B$7/Constants!$B$8/Constants!$B$10)*SINH(ACOSH(1+Constants!$B$8*(A24*Constants!$B$12/2)/Constants!$B$7^2))</f>
        <v>101.919017027388</v>
      </c>
      <c r="D24" s="49" t="n">
        <f aca="false">C24-B24</f>
        <v>92.8982383191319</v>
      </c>
      <c r="E24" s="3"/>
      <c r="F24" s="3"/>
      <c r="G24" s="3"/>
      <c r="H24" s="3"/>
      <c r="I24" s="3"/>
      <c r="J24" s="3"/>
      <c r="K24" s="3"/>
      <c r="L24" s="3"/>
      <c r="M24" s="3"/>
      <c r="N24" s="3"/>
      <c r="O24" s="3"/>
      <c r="P24" s="3"/>
      <c r="Q24" s="3"/>
      <c r="R24" s="3"/>
      <c r="S24" s="3"/>
      <c r="T24" s="3"/>
      <c r="U24" s="3"/>
      <c r="V24" s="3"/>
      <c r="W24" s="3"/>
    </row>
    <row r="25" customFormat="false" ht="15" hidden="false" customHeight="true" outlineLevel="0" collapsed="false">
      <c r="A25" s="48" t="n">
        <v>300</v>
      </c>
      <c r="B25" s="29" t="n">
        <f aca="false">2*(Constants!$B$7/Constants!$B$8/Constants!$B$10)*ACOSH(1+Constants!$B$8*(A25*Constants!$B$12/2)/Constants!$B$7^2)</f>
        <v>11.1247128593898</v>
      </c>
      <c r="C25" s="49" t="n">
        <f aca="false">2*(Constants!$B$7/Constants!$B$8/Constants!$B$10)*SINH(ACOSH(1+Constants!$B$8*(A25*Constants!$B$12/2)/Constants!$B$7^2))</f>
        <v>301.931214178804</v>
      </c>
      <c r="D25" s="49" t="n">
        <f aca="false">C25-B25</f>
        <v>290.806501319414</v>
      </c>
      <c r="E25" s="3"/>
      <c r="F25" s="3"/>
      <c r="G25" s="3"/>
      <c r="H25" s="3"/>
      <c r="I25" s="3"/>
      <c r="J25" s="3"/>
      <c r="K25" s="3"/>
      <c r="L25" s="3"/>
      <c r="M25" s="3"/>
      <c r="N25" s="3"/>
      <c r="O25" s="3"/>
      <c r="P25" s="3"/>
      <c r="Q25" s="3"/>
      <c r="R25" s="3"/>
      <c r="S25" s="3"/>
      <c r="T25" s="3"/>
      <c r="U25" s="3"/>
      <c r="V25" s="3"/>
      <c r="W25" s="3"/>
    </row>
    <row r="26" customFormat="false" ht="15" hidden="false" customHeight="true" outlineLevel="0" collapsed="false">
      <c r="A26" s="48" t="n">
        <v>1000</v>
      </c>
      <c r="B26" s="29" t="n">
        <f aca="false">2*(Constants!$B$7/Constants!$B$8/Constants!$B$10)*ACOSH(1+Constants!$B$8*(A26*Constants!$B$12/2)/Constants!$B$7^2)</f>
        <v>13.4486223277432</v>
      </c>
      <c r="C26" s="49" t="n">
        <f aca="false">2*(Constants!$B$7/Constants!$B$8/Constants!$B$10)*SINH(ACOSH(1+Constants!$B$8*(A26*Constants!$B$12/2)/Constants!$B$7^2))</f>
        <v>1001.93555696876</v>
      </c>
      <c r="D26" s="49" t="n">
        <f aca="false">C26-B26</f>
        <v>988.486934641012</v>
      </c>
      <c r="E26" s="3"/>
      <c r="F26" s="3"/>
      <c r="G26" s="3"/>
      <c r="H26" s="3"/>
      <c r="I26" s="3"/>
      <c r="J26" s="3"/>
      <c r="K26" s="3"/>
      <c r="L26" s="3"/>
      <c r="M26" s="3"/>
      <c r="N26" s="3"/>
      <c r="O26" s="3"/>
      <c r="P26" s="3"/>
      <c r="Q26" s="3"/>
      <c r="R26" s="3"/>
      <c r="S26" s="3"/>
      <c r="T26" s="3"/>
      <c r="U26" s="3"/>
      <c r="V26" s="3"/>
      <c r="W26" s="3"/>
    </row>
    <row r="27" customFormat="false" ht="15" hidden="false" customHeight="true" outlineLevel="0" collapsed="false">
      <c r="A27" s="48" t="n">
        <v>3000</v>
      </c>
      <c r="B27" s="29" t="n">
        <f aca="false">2*(Constants!$B$7/Constants!$B$8/Constants!$B$10)*ACOSH(1+Constants!$B$8*(A27*Constants!$B$12/2)/Constants!$B$7^2)</f>
        <v>15.5746093222619</v>
      </c>
      <c r="C27" s="49" t="n">
        <f aca="false">2*(Constants!$B$7/Constants!$B$8/Constants!$B$10)*SINH(ACOSH(1+Constants!$B$8*(A27*Constants!$B$12/2)/Constants!$B$7^2))</f>
        <v>3001.93680495691</v>
      </c>
      <c r="D27" s="49" t="n">
        <f aca="false">C27-B27</f>
        <v>2986.36219563464</v>
      </c>
      <c r="E27" s="3"/>
      <c r="F27" s="3"/>
      <c r="G27" s="3"/>
      <c r="H27" s="3"/>
      <c r="I27" s="3"/>
      <c r="J27" s="3"/>
      <c r="K27" s="3"/>
      <c r="L27" s="3"/>
      <c r="M27" s="3"/>
      <c r="N27" s="3"/>
      <c r="O27" s="3"/>
      <c r="P27" s="3"/>
      <c r="Q27" s="3"/>
      <c r="R27" s="3"/>
      <c r="S27" s="3"/>
      <c r="T27" s="3"/>
      <c r="U27" s="3"/>
      <c r="V27" s="3"/>
      <c r="W27" s="3"/>
    </row>
    <row r="28" customFormat="false" ht="15" hidden="false" customHeight="true" outlineLevel="0" collapsed="false">
      <c r="A28" s="48" t="n">
        <v>10000</v>
      </c>
      <c r="B28" s="29" t="n">
        <f aca="false">2*(Constants!$B$7/Constants!$B$8/Constants!$B$10)*ACOSH(1+Constants!$B$8*(A28*Constants!$B$12/2)/Constants!$B$7^2)</f>
        <v>17.9063472469093</v>
      </c>
      <c r="C28" s="49" t="n">
        <f aca="false">2*(Constants!$B$7/Constants!$B$8/Constants!$B$10)*SINH(ACOSH(1+Constants!$B$8*(A28*Constants!$B$12/2)/Constants!$B$7^2))</f>
        <v>10001.9372425137</v>
      </c>
      <c r="D28" s="49" t="n">
        <f aca="false">C28-B28</f>
        <v>9984.03089526681</v>
      </c>
      <c r="E28" s="3"/>
      <c r="F28" s="3"/>
      <c r="G28" s="3"/>
      <c r="H28" s="3"/>
      <c r="I28" s="3"/>
      <c r="J28" s="3"/>
      <c r="K28" s="3"/>
      <c r="L28" s="3"/>
      <c r="M28" s="3"/>
      <c r="N28" s="3"/>
      <c r="O28" s="3"/>
      <c r="P28" s="3"/>
      <c r="Q28" s="3"/>
      <c r="R28" s="3"/>
      <c r="S28" s="3"/>
      <c r="T28" s="3"/>
      <c r="U28" s="3"/>
      <c r="V28" s="3"/>
      <c r="W28" s="3"/>
    </row>
    <row r="29" customFormat="false" ht="15" hidden="false" customHeight="true" outlineLevel="0" collapsed="false">
      <c r="A29" s="48" t="n">
        <v>26000</v>
      </c>
      <c r="B29" s="29" t="n">
        <f aca="false">2*(Constants!$B$7/Constants!$B$8/Constants!$B$10)*ACOSH(1+Constants!$B$8*(A29*Constants!$B$12/2)/Constants!$B$7^2)</f>
        <v>19.7573529914154</v>
      </c>
      <c r="C29" s="49" t="n">
        <f aca="false">2*(Constants!$B$7/Constants!$B$8/Constants!$B$10)*SINH(ACOSH(1+Constants!$B$8*(A29*Constants!$B$12/2)/Constants!$B$7^2))</f>
        <v>26001.9373579792</v>
      </c>
      <c r="D29" s="49" t="n">
        <f aca="false">C29-B29</f>
        <v>25982.1800049878</v>
      </c>
      <c r="E29" s="3"/>
      <c r="F29" s="3"/>
      <c r="G29" s="3"/>
      <c r="H29" s="3"/>
      <c r="I29" s="3"/>
      <c r="J29" s="3"/>
      <c r="K29" s="3"/>
      <c r="L29" s="3"/>
      <c r="M29" s="3"/>
      <c r="N29" s="3"/>
      <c r="O29" s="3"/>
      <c r="P29" s="3"/>
      <c r="Q29" s="3"/>
      <c r="R29" s="3"/>
      <c r="S29" s="3"/>
      <c r="T29" s="3"/>
      <c r="U29" s="3"/>
      <c r="V29" s="3"/>
      <c r="W29" s="3"/>
    </row>
    <row r="30" customFormat="false" ht="15" hidden="false" customHeight="true" outlineLevel="0" collapsed="false">
      <c r="A30" s="48" t="n">
        <v>100000</v>
      </c>
      <c r="B30" s="29" t="n">
        <f aca="false">2*(Constants!$B$7/Constants!$B$8/Constants!$B$10)*ACOSH(1+Constants!$B$8*(A30*Constants!$B$12/2)/Constants!$B$7^2)</f>
        <v>22.3671072768526</v>
      </c>
      <c r="C30" s="49" t="n">
        <f aca="false">2*(Constants!$B$7/Constants!$B$8/Constants!$B$10)*SINH(ACOSH(1+Constants!$B$8*(A30*Constants!$B$12/2)/Constants!$B$7^2))</f>
        <v>100001.937411391</v>
      </c>
      <c r="D30" s="49" t="n">
        <f aca="false">C30-B30</f>
        <v>99979.5703041145</v>
      </c>
      <c r="E30" s="3"/>
      <c r="F30" s="3"/>
      <c r="G30" s="3"/>
      <c r="H30" s="3"/>
      <c r="I30" s="3"/>
      <c r="J30" s="3"/>
      <c r="K30" s="3"/>
      <c r="L30" s="3"/>
      <c r="M30" s="3"/>
      <c r="N30" s="3"/>
      <c r="O30" s="3"/>
      <c r="P30" s="3"/>
      <c r="Q30" s="3"/>
      <c r="R30" s="3"/>
      <c r="S30" s="3"/>
      <c r="T30" s="3"/>
      <c r="U30" s="3"/>
      <c r="V30" s="3"/>
      <c r="W30" s="3"/>
    </row>
  </sheetData>
  <mergeCells count="4">
    <mergeCell ref="A2:W2"/>
    <mergeCell ref="A13:W13"/>
    <mergeCell ref="A14:W14"/>
    <mergeCell ref="A15:W15"/>
  </mergeCells>
  <dataValidations count="1">
    <dataValidation allowBlank="false" errorStyle="stop" operator="between" showDropDown="false" showErrorMessage="false" showInputMessage="false" sqref="B5:B11" type="list">
      <formula1>"coast,torch"</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8"/>
    <col collapsed="false" customWidth="true" hidden="false" outlineLevel="0" max="3" min="3" style="1" width="14"/>
    <col collapsed="false" customWidth="true" hidden="false" outlineLevel="0" max="4" min="4" style="1" width="78"/>
  </cols>
  <sheetData>
    <row r="1" customFormat="false" ht="18" hidden="false" customHeight="true" outlineLevel="0" collapsed="false">
      <c r="A1" s="2" t="s">
        <v>304</v>
      </c>
      <c r="B1" s="3"/>
      <c r="C1" s="3"/>
      <c r="D1" s="3"/>
    </row>
    <row r="2" customFormat="false" ht="45" hidden="false" customHeight="true" outlineLevel="0" collapsed="false">
      <c r="A2" s="4" t="s">
        <v>305</v>
      </c>
      <c r="B2" s="4"/>
      <c r="C2" s="4"/>
      <c r="D2" s="4"/>
    </row>
    <row r="3" customFormat="false" ht="15" hidden="false" customHeight="true" outlineLevel="0" collapsed="false">
      <c r="A3" s="3"/>
      <c r="B3" s="3"/>
      <c r="C3" s="3"/>
      <c r="D3" s="3"/>
    </row>
    <row r="4" customFormat="false" ht="15" hidden="false" customHeight="true" outlineLevel="0" collapsed="false">
      <c r="A4" s="3"/>
      <c r="B4" s="3"/>
      <c r="C4" s="3"/>
      <c r="D4" s="3"/>
    </row>
    <row r="5" customFormat="false" ht="15" hidden="false" customHeight="true" outlineLevel="0" collapsed="false">
      <c r="A5" s="13" t="s">
        <v>306</v>
      </c>
      <c r="B5" s="13"/>
      <c r="C5" s="13"/>
      <c r="D5" s="13"/>
    </row>
    <row r="6" customFormat="false" ht="15" hidden="false" customHeight="true" outlineLevel="0" collapsed="false">
      <c r="A6" s="14" t="s">
        <v>130</v>
      </c>
      <c r="B6" s="14" t="s">
        <v>131</v>
      </c>
      <c r="C6" s="14" t="s">
        <v>132</v>
      </c>
      <c r="D6" s="14" t="s">
        <v>133</v>
      </c>
    </row>
    <row r="7" customFormat="false" ht="15" hidden="false" customHeight="true" outlineLevel="0" collapsed="false">
      <c r="A7" s="7" t="s">
        <v>307</v>
      </c>
      <c r="B7" s="50" t="s">
        <v>291</v>
      </c>
      <c r="C7" s="7"/>
      <c r="D7" s="6" t="s">
        <v>308</v>
      </c>
    </row>
    <row r="8" customFormat="false" ht="15" hidden="false" customHeight="true" outlineLevel="0" collapsed="false">
      <c r="A8" s="7" t="s">
        <v>309</v>
      </c>
      <c r="B8" s="22" t="n">
        <v>5</v>
      </c>
      <c r="C8" s="7" t="s">
        <v>174</v>
      </c>
      <c r="D8" s="6" t="s">
        <v>162</v>
      </c>
    </row>
    <row r="9" customFormat="false" ht="15" hidden="false" customHeight="true" outlineLevel="0" collapsed="false">
      <c r="A9" s="7" t="s">
        <v>310</v>
      </c>
      <c r="B9" s="22" t="n">
        <v>10</v>
      </c>
      <c r="C9" s="7" t="s">
        <v>180</v>
      </c>
      <c r="D9" s="6" t="s">
        <v>311</v>
      </c>
    </row>
    <row r="10" customFormat="false" ht="23.25" hidden="false" customHeight="true" outlineLevel="0" collapsed="false">
      <c r="A10" s="7" t="s">
        <v>312</v>
      </c>
      <c r="B10" s="51" t="n">
        <v>2830000</v>
      </c>
      <c r="C10" s="7" t="s">
        <v>313</v>
      </c>
      <c r="D10" s="6" t="s">
        <v>314</v>
      </c>
    </row>
    <row r="11" customFormat="false" ht="15" hidden="false" customHeight="true" outlineLevel="0" collapsed="false">
      <c r="A11" s="7" t="s">
        <v>315</v>
      </c>
      <c r="B11" s="52" t="n">
        <f aca="false">Chrysalis!$B$31</f>
        <v>2400000000000</v>
      </c>
      <c r="C11" s="7" t="s">
        <v>176</v>
      </c>
      <c r="D11" s="6" t="s">
        <v>316</v>
      </c>
    </row>
    <row r="12" customFormat="false" ht="15" hidden="false" customHeight="true" outlineLevel="0" collapsed="false">
      <c r="A12" s="7" t="s">
        <v>317</v>
      </c>
      <c r="B12" s="31" t="n">
        <f aca="false">Chrysalis!$B$29</f>
        <v>3000</v>
      </c>
      <c r="C12" s="7" t="s">
        <v>174</v>
      </c>
      <c r="D12" s="6" t="s">
        <v>316</v>
      </c>
    </row>
    <row r="13" customFormat="false" ht="15" hidden="false" customHeight="true" outlineLevel="0" collapsed="false">
      <c r="A13" s="7" t="s">
        <v>318</v>
      </c>
      <c r="B13" s="31" t="n">
        <f aca="false">Chrysalis!$B$30</f>
        <v>58000</v>
      </c>
      <c r="C13" s="7" t="s">
        <v>174</v>
      </c>
      <c r="D13" s="6" t="s">
        <v>316</v>
      </c>
    </row>
    <row r="14" customFormat="false" ht="15" hidden="false" customHeight="true" outlineLevel="0" collapsed="false">
      <c r="A14" s="7" t="s">
        <v>319</v>
      </c>
      <c r="B14" s="31" t="n">
        <f aca="false">Chrysalis!$B$10</f>
        <v>2400</v>
      </c>
      <c r="C14" s="7" t="s">
        <v>143</v>
      </c>
      <c r="D14" s="6" t="s">
        <v>320</v>
      </c>
    </row>
    <row r="15" customFormat="false" ht="15" hidden="false" customHeight="true" outlineLevel="0" collapsed="false">
      <c r="A15" s="7" t="s">
        <v>321</v>
      </c>
      <c r="B15" s="53" t="n">
        <f aca="false">Chrysalis!$B$22</f>
        <v>2125</v>
      </c>
      <c r="C15" s="7" t="s">
        <v>165</v>
      </c>
      <c r="D15" s="6"/>
    </row>
    <row r="16" customFormat="false" ht="15" hidden="false" customHeight="true" outlineLevel="0" collapsed="false">
      <c r="A16" s="7" t="s">
        <v>322</v>
      </c>
      <c r="B16" s="31" t="n">
        <f aca="false">Chrysalis!$B$23</f>
        <v>25</v>
      </c>
      <c r="C16" s="7" t="s">
        <v>150</v>
      </c>
      <c r="D16" s="6"/>
    </row>
    <row r="17" customFormat="false" ht="15" hidden="false" customHeight="true" outlineLevel="0" collapsed="false">
      <c r="A17" s="3"/>
      <c r="B17" s="3"/>
      <c r="C17" s="3"/>
      <c r="D17" s="3"/>
    </row>
    <row r="18" customFormat="false" ht="15" hidden="false" customHeight="true" outlineLevel="0" collapsed="false">
      <c r="A18" s="13" t="s">
        <v>323</v>
      </c>
      <c r="B18" s="13"/>
      <c r="C18" s="13"/>
      <c r="D18" s="13"/>
    </row>
    <row r="19" customFormat="false" ht="15" hidden="false" customHeight="true" outlineLevel="0" collapsed="false">
      <c r="A19" s="14" t="s">
        <v>130</v>
      </c>
      <c r="B19" s="14" t="s">
        <v>131</v>
      </c>
      <c r="C19" s="14" t="s">
        <v>132</v>
      </c>
      <c r="D19" s="14" t="s">
        <v>133</v>
      </c>
    </row>
    <row r="20" customFormat="false" ht="15" hidden="false" customHeight="true" outlineLevel="0" collapsed="false">
      <c r="A20" s="7" t="s">
        <v>324</v>
      </c>
      <c r="B20" s="54" t="n">
        <f aca="false">MATCH($B$7,'Lead table'!$A$5:$A$11,0)</f>
        <v>3</v>
      </c>
      <c r="C20" s="7"/>
      <c r="D20" s="6"/>
    </row>
    <row r="21" customFormat="false" ht="15" hidden="false" customHeight="true" outlineLevel="0" collapsed="false">
      <c r="A21" s="7" t="s">
        <v>266</v>
      </c>
      <c r="B21" s="55" t="str">
        <f aca="false">INDEX('Lead table'!$B$5:$B$11,$B$20)</f>
        <v>torch</v>
      </c>
      <c r="C21" s="7"/>
      <c r="D21" s="6"/>
    </row>
    <row r="22" customFormat="false" ht="15" hidden="false" customHeight="true" outlineLevel="0" collapsed="false">
      <c r="A22" s="7" t="s">
        <v>325</v>
      </c>
      <c r="B22" s="56" t="n">
        <f aca="false">INDEX('Lead table'!$F$5:$F$11,$B$20)</f>
        <v>1</v>
      </c>
      <c r="C22" s="7" t="s">
        <v>153</v>
      </c>
      <c r="D22" s="6" t="s">
        <v>326</v>
      </c>
    </row>
    <row r="23" customFormat="false" ht="15" hidden="false" customHeight="true" outlineLevel="0" collapsed="false">
      <c r="A23" s="7" t="s">
        <v>327</v>
      </c>
      <c r="B23" s="26" t="n">
        <f aca="false">INDEX('Lead table'!$C$5:$C$11,$B$20)</f>
        <v>4.2465</v>
      </c>
      <c r="C23" s="7" t="s">
        <v>328</v>
      </c>
      <c r="D23" s="6"/>
    </row>
    <row r="24" customFormat="false" ht="15" hidden="false" customHeight="true" outlineLevel="0" collapsed="false">
      <c r="A24" s="7" t="s">
        <v>268</v>
      </c>
      <c r="B24" s="54" t="n">
        <f aca="false">INDEX('Lead table'!$D$5:$D$11,$B$20)</f>
        <v>1</v>
      </c>
      <c r="C24" s="7"/>
      <c r="D24" s="6"/>
    </row>
    <row r="25" customFormat="false" ht="15" hidden="false" customHeight="true" outlineLevel="0" collapsed="false">
      <c r="A25" s="7" t="s">
        <v>329</v>
      </c>
      <c r="B25" s="26" t="n">
        <f aca="false">INDEX('Lead table'!$J$5:$J$11,$B$20)</f>
        <v>1.82824347660325</v>
      </c>
      <c r="C25" s="7"/>
      <c r="D25" s="6"/>
    </row>
    <row r="26" customFormat="false" ht="15" hidden="false" customHeight="true" outlineLevel="0" collapsed="false">
      <c r="A26" s="7" t="s">
        <v>275</v>
      </c>
      <c r="B26" s="27" t="n">
        <f aca="false">INDEX('Lead table'!$K$5:$K$11,$B$20)</f>
        <v>0.949653947260348</v>
      </c>
      <c r="C26" s="7" t="s">
        <v>159</v>
      </c>
      <c r="D26" s="6"/>
    </row>
    <row r="27" customFormat="false" ht="15" hidden="false" customHeight="true" outlineLevel="0" collapsed="false">
      <c r="A27" s="7" t="s">
        <v>276</v>
      </c>
      <c r="B27" s="26" t="n">
        <f aca="false">INDEX('Lead table'!$L$5:$L$11,$B$20)</f>
        <v>3.19182094381917</v>
      </c>
      <c r="C27" s="7"/>
      <c r="D27" s="6"/>
    </row>
    <row r="28" customFormat="false" ht="15" hidden="false" customHeight="true" outlineLevel="0" collapsed="false">
      <c r="A28" s="7" t="s">
        <v>330</v>
      </c>
      <c r="B28" s="29" t="n">
        <f aca="false">INDEX('Lead table'!$O$5:$O$11,$B$20)</f>
        <v>3.54209404983047</v>
      </c>
      <c r="C28" s="7" t="s">
        <v>150</v>
      </c>
      <c r="D28" s="6"/>
    </row>
    <row r="29" customFormat="false" ht="15" hidden="false" customHeight="true" outlineLevel="0" collapsed="false">
      <c r="A29" s="7" t="s">
        <v>331</v>
      </c>
      <c r="B29" s="28" t="n">
        <f aca="false">INDEX('Lead table'!$P$5:$P$11,$B$20)</f>
        <v>5.87259368521396</v>
      </c>
      <c r="C29" s="7" t="s">
        <v>150</v>
      </c>
      <c r="D29" s="6"/>
    </row>
    <row r="30" customFormat="false" ht="15" hidden="false" customHeight="true" outlineLevel="0" collapsed="false">
      <c r="A30" s="7" t="s">
        <v>332</v>
      </c>
      <c r="B30" s="26" t="n">
        <f aca="false">INDEX('Lead table'!$Q$5:$Q$11,$B$20)</f>
        <v>2.33049963538349</v>
      </c>
      <c r="C30" s="7" t="s">
        <v>150</v>
      </c>
      <c r="D30" s="6"/>
    </row>
    <row r="31" customFormat="false" ht="15" hidden="false" customHeight="true" outlineLevel="0" collapsed="false">
      <c r="A31" s="7" t="s">
        <v>282</v>
      </c>
      <c r="B31" s="55" t="str">
        <f aca="false">INDEX('Lead table'!$R$5:$R$11,$B$20)</f>
        <v>2.3 years</v>
      </c>
      <c r="C31" s="7"/>
      <c r="D31" s="6"/>
    </row>
    <row r="32" customFormat="false" ht="15" hidden="false" customHeight="true" outlineLevel="0" collapsed="false">
      <c r="A32" s="7" t="s">
        <v>284</v>
      </c>
      <c r="B32" s="28" t="n">
        <f aca="false">INDEX('Lead table'!$T$5:$T$11,$B$20)</f>
        <v>38.7250606783882</v>
      </c>
      <c r="C32" s="7" t="s">
        <v>217</v>
      </c>
      <c r="D32" s="6"/>
    </row>
    <row r="33" customFormat="false" ht="15" hidden="false" customHeight="true" outlineLevel="0" collapsed="false">
      <c r="A33" s="3"/>
      <c r="B33" s="3"/>
      <c r="C33" s="3"/>
      <c r="D33" s="3"/>
    </row>
    <row r="34" customFormat="false" ht="15" hidden="false" customHeight="true" outlineLevel="0" collapsed="false">
      <c r="A34" s="13" t="s">
        <v>333</v>
      </c>
      <c r="B34" s="13"/>
      <c r="C34" s="13"/>
      <c r="D34" s="13"/>
    </row>
    <row r="35" customFormat="false" ht="15" hidden="false" customHeight="true" outlineLevel="0" collapsed="false">
      <c r="A35" s="14" t="s">
        <v>130</v>
      </c>
      <c r="B35" s="14" t="s">
        <v>131</v>
      </c>
      <c r="C35" s="14" t="s">
        <v>132</v>
      </c>
      <c r="D35" s="14" t="s">
        <v>133</v>
      </c>
    </row>
    <row r="36" customFormat="false" ht="15" hidden="false" customHeight="true" outlineLevel="0" collapsed="false">
      <c r="A36" s="7" t="s">
        <v>334</v>
      </c>
      <c r="B36" s="25" t="n">
        <f aca="false">IF(ISNUMBER($B$22),$B$22*Constants!$B$8,0)</f>
        <v>9.80665</v>
      </c>
      <c r="C36" s="7" t="s">
        <v>335</v>
      </c>
      <c r="D36" s="6"/>
    </row>
    <row r="37" customFormat="false" ht="15" hidden="false" customHeight="true" outlineLevel="0" collapsed="false">
      <c r="A37" s="7" t="s">
        <v>336</v>
      </c>
      <c r="B37" s="24" t="n">
        <f aca="false">$B$11*$B$36</f>
        <v>23535960000000</v>
      </c>
      <c r="C37" s="7" t="s">
        <v>337</v>
      </c>
      <c r="D37" s="6" t="s">
        <v>338</v>
      </c>
    </row>
    <row r="38" customFormat="false" ht="15" hidden="false" customHeight="true" outlineLevel="0" collapsed="false">
      <c r="A38" s="7" t="s">
        <v>339</v>
      </c>
      <c r="B38" s="24" t="n">
        <f aca="false">PI()*$B$12^2</f>
        <v>28274333.8823081</v>
      </c>
      <c r="C38" s="7" t="s">
        <v>254</v>
      </c>
      <c r="D38" s="6"/>
    </row>
    <row r="39" customFormat="false" ht="15" hidden="false" customHeight="true" outlineLevel="0" collapsed="false">
      <c r="A39" s="7" t="s">
        <v>340</v>
      </c>
      <c r="B39" s="24" t="n">
        <f aca="false">$B$37/$B$38</f>
        <v>832414.305425139</v>
      </c>
      <c r="C39" s="7" t="s">
        <v>341</v>
      </c>
      <c r="D39" s="6"/>
    </row>
    <row r="40" customFormat="false" ht="15" hidden="false" customHeight="true" outlineLevel="0" collapsed="false">
      <c r="A40" s="7" t="s">
        <v>342</v>
      </c>
      <c r="B40" s="25" t="n">
        <f aca="false">$B$39/1000000</f>
        <v>0.832414305425139</v>
      </c>
      <c r="C40" s="7" t="s">
        <v>214</v>
      </c>
      <c r="D40" s="6" t="s">
        <v>343</v>
      </c>
    </row>
    <row r="41" customFormat="false" ht="15" hidden="false" customHeight="true" outlineLevel="0" collapsed="false">
      <c r="A41" s="7" t="s">
        <v>344</v>
      </c>
      <c r="B41" s="29" t="n">
        <f aca="false">$B$40/Constants!$B$31</f>
        <v>1.18916329346448</v>
      </c>
      <c r="C41" s="7" t="s">
        <v>345</v>
      </c>
      <c r="D41" s="6"/>
    </row>
    <row r="42" customFormat="false" ht="23.25" hidden="false" customHeight="true" outlineLevel="0" collapsed="false">
      <c r="A42" s="7" t="s">
        <v>346</v>
      </c>
      <c r="B42" s="57" t="n">
        <f aca="false">$B$40/Constants!$C$45</f>
        <v>0.00332965722170056</v>
      </c>
      <c r="C42" s="7"/>
      <c r="D42" s="6" t="s">
        <v>347</v>
      </c>
    </row>
    <row r="43" customFormat="false" ht="15" hidden="false" customHeight="true" outlineLevel="0" collapsed="false">
      <c r="A43" s="3"/>
      <c r="B43" s="3"/>
      <c r="C43" s="3"/>
      <c r="D43" s="3"/>
    </row>
    <row r="44" customFormat="false" ht="15" hidden="false" customHeight="true" outlineLevel="0" collapsed="false">
      <c r="A44" s="13" t="s">
        <v>348</v>
      </c>
      <c r="B44" s="13"/>
      <c r="C44" s="13"/>
      <c r="D44" s="13"/>
    </row>
    <row r="45" customFormat="false" ht="15" hidden="false" customHeight="true" outlineLevel="0" collapsed="false">
      <c r="A45" s="14" t="s">
        <v>130</v>
      </c>
      <c r="B45" s="14" t="s">
        <v>131</v>
      </c>
      <c r="C45" s="14" t="s">
        <v>132</v>
      </c>
      <c r="D45" s="14" t="s">
        <v>133</v>
      </c>
    </row>
    <row r="46" customFormat="false" ht="15" hidden="false" customHeight="true" outlineLevel="0" collapsed="false">
      <c r="A46" s="7" t="s">
        <v>349</v>
      </c>
      <c r="B46" s="24" t="n">
        <f aca="false">$B$11*$B$32*$B$36</f>
        <v>911431479124118</v>
      </c>
      <c r="C46" s="7" t="s">
        <v>337</v>
      </c>
      <c r="D46" s="6"/>
    </row>
    <row r="47" customFormat="false" ht="15" hidden="false" customHeight="true" outlineLevel="0" collapsed="false">
      <c r="A47" s="7" t="s">
        <v>350</v>
      </c>
      <c r="B47" s="24" t="n">
        <f aca="false">$B$37*Constants!$B$7</f>
        <v>7.05590329978968E+021</v>
      </c>
      <c r="C47" s="7" t="s">
        <v>351</v>
      </c>
      <c r="D47" s="6" t="s">
        <v>352</v>
      </c>
    </row>
    <row r="48" customFormat="false" ht="15" hidden="false" customHeight="true" outlineLevel="0" collapsed="false">
      <c r="A48" s="7" t="s">
        <v>353</v>
      </c>
      <c r="B48" s="24" t="n">
        <f aca="false">$B$46*Constants!$B$7</f>
        <v>2.73240283425195E+023</v>
      </c>
      <c r="C48" s="7" t="s">
        <v>351</v>
      </c>
      <c r="D48" s="6"/>
    </row>
    <row r="49" customFormat="false" ht="15" hidden="false" customHeight="true" outlineLevel="0" collapsed="false">
      <c r="A49" s="7" t="s">
        <v>354</v>
      </c>
      <c r="B49" s="24" t="n">
        <f aca="false">$B$47/Constants!$B$19</f>
        <v>1.84323492679981E-005</v>
      </c>
      <c r="C49" s="7"/>
      <c r="D49" s="6"/>
    </row>
    <row r="50" customFormat="false" ht="15" hidden="false" customHeight="true" outlineLevel="0" collapsed="false">
      <c r="A50" s="7" t="s">
        <v>355</v>
      </c>
      <c r="B50" s="23" t="n">
        <f aca="false">Constants!$B$19/$B$47</f>
        <v>54252.4441925686</v>
      </c>
      <c r="C50" s="7" t="s">
        <v>356</v>
      </c>
      <c r="D50" s="6" t="s">
        <v>357</v>
      </c>
    </row>
    <row r="51" customFormat="false" ht="15" hidden="false" customHeight="true" outlineLevel="0" collapsed="false">
      <c r="A51" s="7" t="s">
        <v>358</v>
      </c>
      <c r="B51" s="23" t="n">
        <f aca="false">Constants!$B$19/$B$48</f>
        <v>1400.9647303883</v>
      </c>
      <c r="C51" s="7" t="s">
        <v>356</v>
      </c>
      <c r="D51" s="6"/>
    </row>
    <row r="52" customFormat="false" ht="15" hidden="false" customHeight="true" outlineLevel="0" collapsed="false">
      <c r="A52" s="7" t="s">
        <v>359</v>
      </c>
      <c r="B52" s="24" t="n">
        <f aca="false">($B$32-1)*$B$11/1000</f>
        <v>90540145628.1317</v>
      </c>
      <c r="C52" s="7" t="s">
        <v>140</v>
      </c>
      <c r="D52" s="6" t="s">
        <v>360</v>
      </c>
    </row>
    <row r="53" customFormat="false" ht="15" hidden="false" customHeight="true" outlineLevel="0" collapsed="false">
      <c r="A53" s="3"/>
      <c r="B53" s="3"/>
      <c r="C53" s="3"/>
      <c r="D53" s="3"/>
    </row>
    <row r="54" customFormat="false" ht="15" hidden="false" customHeight="true" outlineLevel="0" collapsed="false">
      <c r="A54" s="13" t="s">
        <v>361</v>
      </c>
      <c r="B54" s="13"/>
      <c r="C54" s="13"/>
      <c r="D54" s="13"/>
    </row>
    <row r="55" customFormat="false" ht="15" hidden="false" customHeight="true" outlineLevel="0" collapsed="false">
      <c r="A55" s="14" t="s">
        <v>130</v>
      </c>
      <c r="B55" s="14" t="s">
        <v>131</v>
      </c>
      <c r="C55" s="14" t="s">
        <v>132</v>
      </c>
      <c r="D55" s="14" t="s">
        <v>133</v>
      </c>
    </row>
    <row r="56" customFormat="false" ht="15" hidden="false" customHeight="true" outlineLevel="0" collapsed="false">
      <c r="A56" s="7" t="s">
        <v>362</v>
      </c>
      <c r="B56" s="23" t="n">
        <f aca="false">$B$13/$B$8</f>
        <v>11600</v>
      </c>
      <c r="C56" s="7" t="s">
        <v>363</v>
      </c>
      <c r="D56" s="6"/>
    </row>
    <row r="57" customFormat="false" ht="15" hidden="false" customHeight="true" outlineLevel="0" collapsed="false">
      <c r="A57" s="7" t="s">
        <v>364</v>
      </c>
      <c r="B57" s="28" t="n">
        <f aca="false">$B$13/$B$9/60</f>
        <v>96.6666666666667</v>
      </c>
      <c r="C57" s="7" t="s">
        <v>365</v>
      </c>
      <c r="D57" s="6"/>
    </row>
    <row r="58" customFormat="false" ht="15" hidden="false" customHeight="true" outlineLevel="0" collapsed="false">
      <c r="A58" s="7" t="s">
        <v>366</v>
      </c>
      <c r="B58" s="24" t="n">
        <f aca="false">$B$36*$B$13/Constants!$B$7^2</f>
        <v>6.32859440987497E-012</v>
      </c>
      <c r="C58" s="7" t="s">
        <v>193</v>
      </c>
      <c r="D58" s="6" t="s">
        <v>367</v>
      </c>
    </row>
    <row r="59" customFormat="false" ht="15" hidden="false" customHeight="true" outlineLevel="0" collapsed="false">
      <c r="A59" s="7" t="s">
        <v>368</v>
      </c>
      <c r="B59" s="25" t="n">
        <f aca="false">$B$58*Constants!$B$11*1000000</f>
        <v>0.546790557013197</v>
      </c>
      <c r="C59" s="7" t="s">
        <v>369</v>
      </c>
      <c r="D59" s="6"/>
    </row>
    <row r="60" customFormat="false" ht="15" hidden="false" customHeight="true" outlineLevel="0" collapsed="false">
      <c r="A60" s="7" t="s">
        <v>370</v>
      </c>
      <c r="B60" s="28" t="n">
        <f aca="false">$B$58/Constants!$B$38</f>
        <v>54.872280037843</v>
      </c>
      <c r="C60" s="7" t="s">
        <v>199</v>
      </c>
      <c r="D60" s="6"/>
    </row>
    <row r="61" customFormat="false" ht="15" hidden="false" customHeight="true" outlineLevel="0" collapsed="false">
      <c r="A61" s="7" t="s">
        <v>371</v>
      </c>
      <c r="B61" s="23" t="n">
        <f aca="false">$B$58/Constants!$B$40</f>
        <v>2577.77777777778</v>
      </c>
      <c r="C61" s="7" t="s">
        <v>202</v>
      </c>
      <c r="D61" s="6"/>
    </row>
    <row r="62" customFormat="false" ht="15" hidden="false" customHeight="true" outlineLevel="0" collapsed="false">
      <c r="A62" s="7" t="s">
        <v>372</v>
      </c>
      <c r="B62" s="25" t="n">
        <f aca="false">$B$58*$B$28*Constants!$B$10*1000</f>
        <v>0.707410202047101</v>
      </c>
      <c r="C62" s="7" t="s">
        <v>204</v>
      </c>
      <c r="D62" s="6" t="s">
        <v>373</v>
      </c>
    </row>
    <row r="63" customFormat="false" ht="15" hidden="false" customHeight="true" outlineLevel="0" collapsed="false">
      <c r="A63" s="3"/>
      <c r="B63" s="3"/>
      <c r="C63" s="3"/>
      <c r="D63" s="3"/>
    </row>
    <row r="64" customFormat="false" ht="15" hidden="false" customHeight="true" outlineLevel="0" collapsed="false">
      <c r="A64" s="13" t="s">
        <v>374</v>
      </c>
      <c r="B64" s="13"/>
      <c r="C64" s="13"/>
      <c r="D64" s="13"/>
    </row>
    <row r="65" customFormat="false" ht="15" hidden="false" customHeight="true" outlineLevel="0" collapsed="false">
      <c r="A65" s="14" t="s">
        <v>130</v>
      </c>
      <c r="B65" s="14" t="s">
        <v>131</v>
      </c>
      <c r="C65" s="14" t="s">
        <v>132</v>
      </c>
      <c r="D65" s="14" t="s">
        <v>133</v>
      </c>
    </row>
    <row r="66" customFormat="false" ht="15" hidden="false" customHeight="true" outlineLevel="0" collapsed="false">
      <c r="A66" s="7" t="s">
        <v>375</v>
      </c>
      <c r="B66" s="58" t="n">
        <f aca="false">Constants!$B$29</f>
        <v>1</v>
      </c>
      <c r="C66" s="7" t="s">
        <v>376</v>
      </c>
      <c r="D66" s="6" t="s">
        <v>377</v>
      </c>
    </row>
    <row r="67" customFormat="false" ht="23.25" hidden="false" customHeight="true" outlineLevel="0" collapsed="false">
      <c r="A67" s="7" t="s">
        <v>378</v>
      </c>
      <c r="B67" s="59" t="n">
        <f aca="false">$B$12</f>
        <v>3000</v>
      </c>
      <c r="C67" s="7" t="s">
        <v>174</v>
      </c>
      <c r="D67" s="6" t="s">
        <v>379</v>
      </c>
    </row>
    <row r="68" customFormat="false" ht="15" hidden="false" customHeight="true" outlineLevel="0" collapsed="false">
      <c r="A68" s="7" t="s">
        <v>380</v>
      </c>
      <c r="B68" s="24" t="n">
        <f aca="false">PI()*$B$67^2</f>
        <v>28274333.8823081</v>
      </c>
      <c r="C68" s="7" t="s">
        <v>254</v>
      </c>
      <c r="D68" s="6"/>
    </row>
    <row r="69" customFormat="false" ht="15" hidden="false" customHeight="true" outlineLevel="0" collapsed="false">
      <c r="A69" s="7" t="s">
        <v>381</v>
      </c>
      <c r="B69" s="15" t="n">
        <v>3695</v>
      </c>
      <c r="C69" s="7" t="s">
        <v>382</v>
      </c>
      <c r="D69" s="6" t="s">
        <v>383</v>
      </c>
    </row>
    <row r="70" customFormat="false" ht="15" hidden="false" customHeight="true" outlineLevel="0" collapsed="false">
      <c r="A70" s="7" t="s">
        <v>384</v>
      </c>
      <c r="B70" s="15" t="n">
        <v>3915</v>
      </c>
      <c r="C70" s="7" t="s">
        <v>382</v>
      </c>
      <c r="D70" s="6" t="s">
        <v>385</v>
      </c>
    </row>
    <row r="71" customFormat="false" ht="15" hidden="false" customHeight="true" outlineLevel="0" collapsed="false">
      <c r="A71" s="7" t="s">
        <v>386</v>
      </c>
      <c r="B71" s="25" t="n">
        <f aca="false">($B$27-1)*Constants!$B$22/Constants!$B$21/1000000000</f>
        <v>2.05652441383111</v>
      </c>
      <c r="C71" s="7" t="s">
        <v>387</v>
      </c>
      <c r="D71" s="6" t="s">
        <v>388</v>
      </c>
    </row>
    <row r="72" customFormat="false" ht="23.25" hidden="false" customHeight="true" outlineLevel="0" collapsed="false">
      <c r="A72" s="7" t="s">
        <v>389</v>
      </c>
      <c r="B72" s="24" t="n">
        <f aca="false">$B$27*$B$66*1000000*$B$26*Constants!$B$7*($B$27-1)*Constants!$B$22</f>
        <v>299411.766857168</v>
      </c>
      <c r="C72" s="7" t="s">
        <v>390</v>
      </c>
      <c r="D72" s="6" t="s">
        <v>391</v>
      </c>
    </row>
    <row r="73" customFormat="false" ht="15" hidden="false" customHeight="true" outlineLevel="0" collapsed="false">
      <c r="A73" s="7" t="s">
        <v>392</v>
      </c>
      <c r="B73" s="28" t="n">
        <f aca="false">$B$72/1000</f>
        <v>299.411766857168</v>
      </c>
      <c r="C73" s="7" t="s">
        <v>393</v>
      </c>
      <c r="D73" s="6"/>
    </row>
    <row r="74" customFormat="false" ht="23.25" hidden="false" customHeight="true" outlineLevel="0" collapsed="false">
      <c r="A74" s="7" t="s">
        <v>394</v>
      </c>
      <c r="B74" s="23" t="n">
        <f aca="false">($B$72/Constants!$B$24)^0.25</f>
        <v>1515.8781109742</v>
      </c>
      <c r="C74" s="7" t="s">
        <v>382</v>
      </c>
      <c r="D74" s="6" t="s">
        <v>395</v>
      </c>
    </row>
    <row r="75" customFormat="false" ht="34.5" hidden="false" customHeight="true" outlineLevel="0" collapsed="false">
      <c r="A75" s="7" t="s">
        <v>396</v>
      </c>
      <c r="B75" s="55" t="str">
        <f aca="false">IF($B$74&lt;$B$69,"A tungsten or carbon bow plate glowing at "&amp;TEXT($B$74,"#,##0")&amp;" K can re-radiate the peak load","Even tungsten melts at this flux: needs a magnetic deflector or a needle prow")</f>
        <v>A tungsten or carbon bow plate glowing at 1,516 K can re-radiate the peak load</v>
      </c>
      <c r="C75" s="7"/>
      <c r="D75" s="6" t="s">
        <v>397</v>
      </c>
    </row>
    <row r="76" customFormat="false" ht="15" hidden="false" customHeight="true" outlineLevel="0" collapsed="false">
      <c r="A76" s="7" t="s">
        <v>398</v>
      </c>
      <c r="B76" s="24" t="n">
        <f aca="false">IF($B$21="torch",$B$66*1000000*Constants!$B$20*$B$36*($B$23*Constants!$B$12)^2/4,$B$66*1000000*Constants!$B$20*Constants!$B$7^2*($B$27-1)*$B$23*Constants!$B$12)</f>
        <v>6618659909704.03</v>
      </c>
      <c r="C76" s="7" t="s">
        <v>399</v>
      </c>
      <c r="D76" s="6" t="s">
        <v>400</v>
      </c>
    </row>
    <row r="77" customFormat="false" ht="15" hidden="false" customHeight="true" outlineLevel="0" collapsed="false">
      <c r="A77" s="7" t="s">
        <v>401</v>
      </c>
      <c r="B77" s="24" t="n">
        <f aca="false">$B$76*$B$24</f>
        <v>6618659909704.03</v>
      </c>
      <c r="C77" s="7" t="s">
        <v>399</v>
      </c>
      <c r="D77" s="6"/>
    </row>
    <row r="78" customFormat="false" ht="15" hidden="false" customHeight="true" outlineLevel="0" collapsed="false">
      <c r="A78" s="7" t="s">
        <v>402</v>
      </c>
      <c r="B78" s="24" t="n">
        <f aca="false">$B$77*$B$68</f>
        <v>1.87138200140419E+020</v>
      </c>
      <c r="C78" s="7" t="s">
        <v>259</v>
      </c>
      <c r="D78" s="6"/>
    </row>
    <row r="79" customFormat="false" ht="15" hidden="false" customHeight="true" outlineLevel="0" collapsed="false">
      <c r="A79" s="7" t="s">
        <v>403</v>
      </c>
      <c r="B79" s="24" t="n">
        <f aca="false">$B$78/$B$10/1000</f>
        <v>66126572487.7806</v>
      </c>
      <c r="C79" s="7" t="s">
        <v>140</v>
      </c>
      <c r="D79" s="6"/>
    </row>
    <row r="80" customFormat="false" ht="23.25" hidden="false" customHeight="true" outlineLevel="0" collapsed="false">
      <c r="A80" s="7" t="s">
        <v>404</v>
      </c>
      <c r="B80" s="28" t="n">
        <f aca="false">$B$79/1000000000</f>
        <v>66.1265724877806</v>
      </c>
      <c r="C80" s="7" t="s">
        <v>405</v>
      </c>
      <c r="D80" s="6" t="s">
        <v>406</v>
      </c>
    </row>
    <row r="81" customFormat="false" ht="23.25" hidden="false" customHeight="true" outlineLevel="0" collapsed="false">
      <c r="A81" s="7" t="s">
        <v>407</v>
      </c>
      <c r="B81" s="28" t="n">
        <f aca="false">$B$79*1000/$B$11</f>
        <v>27.5527385365753</v>
      </c>
      <c r="C81" s="7" t="s">
        <v>356</v>
      </c>
      <c r="D81" s="6" t="s">
        <v>408</v>
      </c>
    </row>
    <row r="82" customFormat="false" ht="15" hidden="false" customHeight="true" outlineLevel="0" collapsed="false">
      <c r="A82" s="7" t="s">
        <v>409</v>
      </c>
      <c r="B82" s="29" t="n">
        <f aca="false">$B$79*1000/917/$B$68/1000</f>
        <v>2.5504352068714</v>
      </c>
      <c r="C82" s="7" t="s">
        <v>410</v>
      </c>
      <c r="D82" s="6" t="s">
        <v>411</v>
      </c>
    </row>
    <row r="83" customFormat="false" ht="15" hidden="false" customHeight="true" outlineLevel="0" collapsed="false">
      <c r="A83" s="7" t="s">
        <v>412</v>
      </c>
      <c r="B83" s="23" t="n">
        <f aca="false">$B$79/$B$14</f>
        <v>27552738.5365753</v>
      </c>
      <c r="C83" s="7" t="s">
        <v>413</v>
      </c>
      <c r="D83" s="6"/>
    </row>
    <row r="84" customFormat="false" ht="15" hidden="false" customHeight="true" outlineLevel="0" collapsed="false">
      <c r="A84" s="7" t="s">
        <v>414</v>
      </c>
      <c r="B84" s="24" t="n">
        <f aca="false">$B$66*1000000*Constants!$B$20*$B$23*Constants!$B$12*$B$24</f>
        <v>6.7197572322674E-005</v>
      </c>
      <c r="C84" s="7" t="s">
        <v>252</v>
      </c>
      <c r="D84" s="6" t="s">
        <v>415</v>
      </c>
    </row>
    <row r="85" customFormat="false" ht="15" hidden="false" customHeight="true" outlineLevel="0" collapsed="false">
      <c r="A85" s="3"/>
      <c r="B85" s="3"/>
      <c r="C85" s="3"/>
      <c r="D85" s="3"/>
    </row>
    <row r="86" customFormat="false" ht="15" hidden="false" customHeight="true" outlineLevel="0" collapsed="false">
      <c r="A86" s="13" t="s">
        <v>416</v>
      </c>
      <c r="B86" s="13"/>
      <c r="C86" s="13"/>
      <c r="D86" s="13"/>
    </row>
    <row r="87" customFormat="false" ht="15" hidden="false" customHeight="true" outlineLevel="0" collapsed="false">
      <c r="A87" s="14" t="s">
        <v>130</v>
      </c>
      <c r="B87" s="14" t="s">
        <v>131</v>
      </c>
      <c r="C87" s="14" t="s">
        <v>132</v>
      </c>
      <c r="D87" s="14" t="s">
        <v>133</v>
      </c>
    </row>
    <row r="88" customFormat="false" ht="15" hidden="false" customHeight="true" outlineLevel="0" collapsed="false">
      <c r="A88" s="7" t="s">
        <v>417</v>
      </c>
      <c r="B88" s="29" t="n">
        <f aca="false">$B$28</f>
        <v>3.54209404983047</v>
      </c>
      <c r="C88" s="7" t="s">
        <v>150</v>
      </c>
      <c r="D88" s="6"/>
    </row>
    <row r="89" customFormat="false" ht="15" hidden="false" customHeight="true" outlineLevel="0" collapsed="false">
      <c r="A89" s="7" t="s">
        <v>418</v>
      </c>
      <c r="B89" s="28" t="n">
        <f aca="false">$B$16+$B$28</f>
        <v>28.5420940498305</v>
      </c>
      <c r="C89" s="7" t="s">
        <v>150</v>
      </c>
      <c r="D89" s="6"/>
    </row>
    <row r="90" customFormat="false" ht="15" hidden="false" customHeight="true" outlineLevel="0" collapsed="false">
      <c r="A90" s="7" t="s">
        <v>419</v>
      </c>
      <c r="B90" s="23" t="n">
        <f aca="false">$B$15+$B$29</f>
        <v>2130.87259368521</v>
      </c>
      <c r="C90" s="7" t="s">
        <v>165</v>
      </c>
      <c r="D90" s="6"/>
    </row>
    <row r="91" customFormat="false" ht="15" hidden="false" customHeight="true" outlineLevel="0" collapsed="false">
      <c r="A91" s="7" t="s">
        <v>420</v>
      </c>
      <c r="B91" s="55" t="str">
        <f aca="false">$B$31</f>
        <v>2.3 years</v>
      </c>
      <c r="C91" s="7"/>
      <c r="D91" s="6" t="s">
        <v>421</v>
      </c>
    </row>
  </sheetData>
  <mergeCells count="1">
    <mergeCell ref="A2:D2"/>
  </mergeCells>
  <dataValidations count="1">
    <dataValidation allowBlank="false" errorStyle="stop" operator="between" showDropDown="false" showErrorMessage="false" showInputMessage="false" sqref="B7" type="list">
      <formula1>'Lead table'!$A$5:$A$11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8"/>
    <col collapsed="false" customWidth="true" hidden="false" outlineLevel="0" max="3" min="3" style="1" width="14"/>
    <col collapsed="false" customWidth="true" hidden="false" outlineLevel="0" max="4" min="4" style="1" width="78"/>
  </cols>
  <sheetData>
    <row r="1" customFormat="false" ht="18" hidden="false" customHeight="true" outlineLevel="0" collapsed="false">
      <c r="A1" s="2" t="s">
        <v>422</v>
      </c>
      <c r="B1" s="3"/>
      <c r="C1" s="3"/>
      <c r="D1" s="3"/>
    </row>
    <row r="2" customFormat="false" ht="45" hidden="false" customHeight="true" outlineLevel="0" collapsed="false">
      <c r="A2" s="4" t="s">
        <v>423</v>
      </c>
      <c r="B2" s="4"/>
      <c r="C2" s="4"/>
      <c r="D2" s="4"/>
    </row>
    <row r="3" customFormat="false" ht="15" hidden="false" customHeight="true" outlineLevel="0" collapsed="false">
      <c r="A3" s="3"/>
      <c r="B3" s="3"/>
      <c r="C3" s="3"/>
      <c r="D3" s="3"/>
    </row>
    <row r="4" customFormat="false" ht="15" hidden="false" customHeight="true" outlineLevel="0" collapsed="false">
      <c r="A4" s="3"/>
      <c r="B4" s="3"/>
      <c r="C4" s="3"/>
      <c r="D4" s="3"/>
    </row>
    <row r="5" customFormat="false" ht="15" hidden="false" customHeight="true" outlineLevel="0" collapsed="false">
      <c r="A5" s="13" t="s">
        <v>424</v>
      </c>
      <c r="B5" s="13"/>
      <c r="C5" s="13"/>
      <c r="D5" s="13"/>
    </row>
    <row r="6" customFormat="false" ht="15" hidden="false" customHeight="true" outlineLevel="0" collapsed="false">
      <c r="A6" s="14" t="s">
        <v>130</v>
      </c>
      <c r="B6" s="14" t="s">
        <v>131</v>
      </c>
      <c r="C6" s="14" t="s">
        <v>132</v>
      </c>
      <c r="D6" s="14" t="s">
        <v>133</v>
      </c>
    </row>
    <row r="7" customFormat="false" ht="15" hidden="false" customHeight="true" outlineLevel="0" collapsed="false">
      <c r="A7" s="7" t="s">
        <v>425</v>
      </c>
      <c r="B7" s="22" t="n">
        <v>2</v>
      </c>
      <c r="C7" s="7" t="s">
        <v>174</v>
      </c>
      <c r="D7" s="6" t="s">
        <v>162</v>
      </c>
    </row>
    <row r="8" customFormat="false" ht="15" hidden="false" customHeight="true" outlineLevel="0" collapsed="false">
      <c r="A8" s="7" t="s">
        <v>426</v>
      </c>
      <c r="B8" s="50" t="s">
        <v>291</v>
      </c>
      <c r="C8" s="7"/>
      <c r="D8" s="6" t="s">
        <v>427</v>
      </c>
    </row>
    <row r="9" customFormat="false" ht="15" hidden="false" customHeight="true" outlineLevel="0" collapsed="false">
      <c r="A9" s="7" t="s">
        <v>428</v>
      </c>
      <c r="B9" s="7" t="s">
        <v>429</v>
      </c>
      <c r="C9" s="7"/>
      <c r="D9" s="6" t="s">
        <v>430</v>
      </c>
    </row>
    <row r="10" customFormat="false" ht="15" hidden="false" customHeight="true" outlineLevel="0" collapsed="false">
      <c r="A10" s="3"/>
      <c r="B10" s="3"/>
      <c r="C10" s="3"/>
      <c r="D10" s="3"/>
    </row>
    <row r="11" customFormat="false" ht="15" hidden="false" customHeight="true" outlineLevel="0" collapsed="false">
      <c r="A11" s="13" t="s">
        <v>431</v>
      </c>
      <c r="B11" s="13"/>
      <c r="C11" s="13"/>
      <c r="D11" s="13"/>
    </row>
    <row r="12" customFormat="false" ht="15" hidden="false" customHeight="true" outlineLevel="0" collapsed="false">
      <c r="A12" s="14" t="s">
        <v>130</v>
      </c>
      <c r="B12" s="14" t="s">
        <v>131</v>
      </c>
      <c r="C12" s="14" t="s">
        <v>132</v>
      </c>
      <c r="D12" s="14" t="s">
        <v>133</v>
      </c>
    </row>
    <row r="13" customFormat="false" ht="23.25" hidden="false" customHeight="true" outlineLevel="0" collapsed="false">
      <c r="A13" s="7" t="s">
        <v>432</v>
      </c>
      <c r="B13" s="24" t="n">
        <f aca="false">Constants!$B$7^2*$B$7/Constants!$B$9</f>
        <v>2.69318184300022E+027</v>
      </c>
      <c r="C13" s="7" t="s">
        <v>433</v>
      </c>
      <c r="D13" s="6" t="s">
        <v>434</v>
      </c>
    </row>
    <row r="14" customFormat="false" ht="15" hidden="false" customHeight="true" outlineLevel="0" collapsed="false">
      <c r="A14" s="7" t="s">
        <v>435</v>
      </c>
      <c r="B14" s="29" t="n">
        <f aca="false">$B$13/Constants!$B$18</f>
        <v>1.41880826203783</v>
      </c>
      <c r="C14" s="7" t="s">
        <v>436</v>
      </c>
      <c r="D14" s="6" t="s">
        <v>437</v>
      </c>
    </row>
    <row r="15" customFormat="false" ht="15" hidden="false" customHeight="true" outlineLevel="0" collapsed="false">
      <c r="A15" s="7" t="s">
        <v>438</v>
      </c>
      <c r="B15" s="23" t="n">
        <f aca="false">$B$13/Constants!$B$17</f>
        <v>450.953056327688</v>
      </c>
      <c r="C15" s="7" t="s">
        <v>439</v>
      </c>
      <c r="D15" s="6"/>
    </row>
    <row r="16" customFormat="false" ht="15" hidden="false" customHeight="true" outlineLevel="0" collapsed="false">
      <c r="A16" s="7" t="s">
        <v>440</v>
      </c>
      <c r="B16" s="29" t="n">
        <f aca="false">Constants!$B$7^2/Constants!$B$9/Constants!$B$18</f>
        <v>0.709404131018917</v>
      </c>
      <c r="C16" s="7" t="s">
        <v>441</v>
      </c>
      <c r="D16" s="6"/>
    </row>
    <row r="17" customFormat="false" ht="15" hidden="false" customHeight="true" outlineLevel="0" collapsed="false">
      <c r="A17" s="3"/>
      <c r="B17" s="3"/>
      <c r="C17" s="3"/>
      <c r="D17" s="3"/>
    </row>
    <row r="18" customFormat="false" ht="15" hidden="false" customHeight="true" outlineLevel="0" collapsed="false">
      <c r="A18" s="13" t="s">
        <v>442</v>
      </c>
      <c r="B18" s="13"/>
      <c r="C18" s="13"/>
      <c r="D18" s="13"/>
    </row>
    <row r="19" customFormat="false" ht="15" hidden="false" customHeight="true" outlineLevel="0" collapsed="false">
      <c r="A19" s="14" t="s">
        <v>130</v>
      </c>
      <c r="B19" s="14" t="s">
        <v>131</v>
      </c>
      <c r="C19" s="14" t="s">
        <v>132</v>
      </c>
      <c r="D19" s="14" t="s">
        <v>133</v>
      </c>
    </row>
    <row r="20" customFormat="false" ht="15" hidden="false" customHeight="true" outlineLevel="0" collapsed="false">
      <c r="A20" s="7" t="s">
        <v>324</v>
      </c>
      <c r="B20" s="54" t="n">
        <f aca="false">MATCH($B$8,'Lead table'!$A$5:$A$11,0)</f>
        <v>3</v>
      </c>
      <c r="C20" s="7"/>
      <c r="D20" s="6"/>
    </row>
    <row r="21" customFormat="false" ht="15" hidden="false" customHeight="true" outlineLevel="0" collapsed="false">
      <c r="A21" s="7" t="s">
        <v>443</v>
      </c>
      <c r="B21" s="26" t="n">
        <f aca="false">INDEX('Lead table'!$Q$5:$Q$11,$B$20)</f>
        <v>2.33049963538349</v>
      </c>
      <c r="C21" s="7" t="s">
        <v>150</v>
      </c>
      <c r="D21" s="6"/>
    </row>
    <row r="22" customFormat="false" ht="23.25" hidden="false" customHeight="true" outlineLevel="0" collapsed="false">
      <c r="A22" s="7" t="s">
        <v>444</v>
      </c>
      <c r="B22" s="55" t="str">
        <f aca="false">INDEX('Lead table'!$R$5:$R$11,$B$20)</f>
        <v>2.3 years</v>
      </c>
      <c r="C22" s="7"/>
      <c r="D22" s="6" t="s">
        <v>445</v>
      </c>
    </row>
    <row r="23" customFormat="false" ht="15" hidden="false" customHeight="true" outlineLevel="0" collapsed="false">
      <c r="A23" s="7" t="s">
        <v>446</v>
      </c>
      <c r="B23" s="26" t="n">
        <f aca="false">INDEX('Lead table'!$V$5:$V$11,$B$20)</f>
        <v>4.2465</v>
      </c>
      <c r="C23" s="7" t="s">
        <v>328</v>
      </c>
      <c r="D23" s="6"/>
    </row>
    <row r="24" customFormat="false" ht="15" hidden="false" customHeight="true" outlineLevel="0" collapsed="false">
      <c r="A24" s="7" t="s">
        <v>447</v>
      </c>
      <c r="B24" s="26" t="n">
        <f aca="false">INDEX('Lead table'!$W$5:$W$11,$B$20)</f>
        <v>4.2465</v>
      </c>
      <c r="C24" s="7" t="s">
        <v>150</v>
      </c>
      <c r="D24" s="6" t="s">
        <v>448</v>
      </c>
    </row>
    <row r="25" customFormat="false" ht="23.25" hidden="false" customHeight="true" outlineLevel="0" collapsed="false">
      <c r="A25" s="7" t="s">
        <v>449</v>
      </c>
      <c r="B25" s="26" t="n">
        <f aca="false">$B$24-$B$21</f>
        <v>1.91600036461651</v>
      </c>
      <c r="C25" s="7" t="s">
        <v>150</v>
      </c>
      <c r="D25" s="6" t="s">
        <v>450</v>
      </c>
    </row>
    <row r="26" customFormat="false" ht="23.25" hidden="false" customHeight="true" outlineLevel="0" collapsed="false">
      <c r="A26" s="7" t="s">
        <v>451</v>
      </c>
      <c r="B26" s="55" t="str">
        <f aca="false">IF($B$25&gt;0,"No closed timelike curve: the door is safe","Closed timelike curve forms: chronology-protection territory")</f>
        <v>No closed timelike curve: the door is safe</v>
      </c>
      <c r="C26" s="7"/>
      <c r="D26" s="6" t="s">
        <v>452</v>
      </c>
    </row>
    <row r="27" customFormat="false" ht="15" hidden="false" customHeight="true" outlineLevel="0" collapsed="false">
      <c r="A27" s="7" t="s">
        <v>453</v>
      </c>
      <c r="B27" s="26" t="n">
        <f aca="false">$B$24</f>
        <v>4.2465</v>
      </c>
      <c r="C27" s="7" t="s">
        <v>150</v>
      </c>
      <c r="D27" s="6" t="s">
        <v>454</v>
      </c>
    </row>
    <row r="28" customFormat="false" ht="15" hidden="false" customHeight="true" outlineLevel="0" collapsed="false">
      <c r="A28" s="3"/>
      <c r="B28" s="3"/>
      <c r="C28" s="3"/>
      <c r="D28" s="3"/>
    </row>
    <row r="29" customFormat="false" ht="15" hidden="false" customHeight="true" outlineLevel="0" collapsed="false">
      <c r="A29" s="13" t="s">
        <v>455</v>
      </c>
      <c r="B29" s="13"/>
      <c r="C29" s="13"/>
      <c r="D29" s="13"/>
    </row>
    <row r="30" customFormat="false" ht="15" hidden="false" customHeight="true" outlineLevel="0" collapsed="false">
      <c r="A30" s="14" t="s">
        <v>265</v>
      </c>
      <c r="B30" s="14" t="s">
        <v>456</v>
      </c>
      <c r="C30" s="14" t="s">
        <v>457</v>
      </c>
      <c r="D30" s="14" t="s">
        <v>458</v>
      </c>
    </row>
    <row r="31" customFormat="false" ht="15" hidden="false" customHeight="true" outlineLevel="0" collapsed="false">
      <c r="A31" s="30" t="str">
        <f aca="false">'Lead table'!$A$5</f>
        <v>Chrysalis as drawn (~1% c)</v>
      </c>
      <c r="B31" s="60" t="n">
        <f aca="false">'Lead table'!$Q$5</f>
        <v>0.022345639422042</v>
      </c>
      <c r="C31" s="60" t="n">
        <f aca="false">'Lead table'!$W$5</f>
        <v>4.22800333609846</v>
      </c>
      <c r="D31" s="10" t="str">
        <f aca="false">IF(C31&gt;B31,"Safe door — "&amp;'Lead table'!$R$5&amp;" into the past","CLOSED TIMELIKE CURVE — "&amp;'Lead table'!$R$5&amp;" of lead with no light-time to hide it")</f>
        <v>Safe door — 8.2 days into the past</v>
      </c>
    </row>
    <row r="32" customFormat="false" ht="15" hidden="false" customHeight="true" outlineLevel="0" collapsed="false">
      <c r="A32" s="30" t="str">
        <f aca="false">'Lead table'!$A$6</f>
        <v>Fusion pushed to Daedalus speed (0.1 c)</v>
      </c>
      <c r="B32" s="60" t="n">
        <f aca="false">'Lead table'!$Q$6</f>
        <v>0.212858483267382</v>
      </c>
      <c r="C32" s="60" t="n">
        <f aca="false">'Lead table'!$W$6</f>
        <v>4.2465</v>
      </c>
      <c r="D32" s="10" t="str">
        <f aca="false">IF(C32&gt;B32,"Safe door — "&amp;'Lead table'!$R$6&amp;" into the past","CLOSED TIMELIKE CURVE — "&amp;'Lead table'!$R$6&amp;" of lead with no light-time to hide it")</f>
        <v>Safe door — 2.6 months into the past</v>
      </c>
    </row>
    <row r="33" customFormat="false" ht="15" hidden="false" customHeight="true" outlineLevel="0" collapsed="false">
      <c r="A33" s="30" t="str">
        <f aca="false">'Lead table'!$A$7</f>
        <v>1 g torch to Proxima</v>
      </c>
      <c r="B33" s="60" t="n">
        <f aca="false">'Lead table'!$Q$7</f>
        <v>2.33049963538349</v>
      </c>
      <c r="C33" s="60" t="n">
        <f aca="false">'Lead table'!$W$7</f>
        <v>4.2465</v>
      </c>
      <c r="D33" s="10" t="str">
        <f aca="false">IF(C33&gt;B33,"Safe door — "&amp;'Lead table'!$R$7&amp;" into the past","CLOSED TIMELIKE CURVE — "&amp;'Lead table'!$R$7&amp;" of lead with no light-time to hide it")</f>
        <v>Safe door — 2.3 years into the past</v>
      </c>
    </row>
    <row r="34" customFormat="false" ht="15" hidden="false" customHeight="true" outlineLevel="0" collapsed="false">
      <c r="A34" s="30" t="str">
        <f aca="false">'Lead table'!$A$8</f>
        <v>1 g, 1,000 ly and back</v>
      </c>
      <c r="B34" s="60" t="n">
        <f aca="false">'Lead table'!$Q$8</f>
        <v>1976.97386928202</v>
      </c>
      <c r="C34" s="60" t="n">
        <f aca="false">'Lead table'!$W$8</f>
        <v>0</v>
      </c>
      <c r="D34" s="10" t="str">
        <f aca="false">IF(C34&gt;B34,"Safe door — "&amp;'Lead table'!$R$8&amp;" into the past","CLOSED TIMELIKE CURVE — "&amp;'Lead table'!$R$8&amp;" of lead with no light-time to hide it")</f>
        <v>CLOSED TIMELIKE CURVE — 1,977 years of lead with no light-time to hide it</v>
      </c>
    </row>
    <row r="35" customFormat="false" ht="15" hidden="false" customHeight="true" outlineLevel="0" collapsed="false">
      <c r="A35" s="30" t="str">
        <f aca="false">'Lead table'!$A$9</f>
        <v>1 g to the galactic centre</v>
      </c>
      <c r="B35" s="60" t="n">
        <f aca="false">'Lead table'!$Q$9</f>
        <v>25982.1800049878</v>
      </c>
      <c r="C35" s="60" t="n">
        <f aca="false">'Lead table'!$W$9</f>
        <v>26000</v>
      </c>
      <c r="D35" s="10" t="str">
        <f aca="false">IF(C35&gt;B35,"Safe door — "&amp;'Lead table'!$R$9&amp;" into the past","CLOSED TIMELIKE CURVE — "&amp;'Lead table'!$R$9&amp;" of lead with no light-time to hide it")</f>
        <v>Safe door — 25,982 years into the past</v>
      </c>
    </row>
    <row r="36" customFormat="false" ht="15" hidden="false" customHeight="true" outlineLevel="0" collapsed="false">
      <c r="A36" s="30" t="str">
        <f aca="false">'Lead table'!$A$10</f>
        <v>Your ship A (torch)</v>
      </c>
      <c r="B36" s="60" t="n">
        <f aca="false">'Lead table'!$Q$10</f>
        <v>88.3748979434254</v>
      </c>
      <c r="C36" s="60" t="n">
        <f aca="false">'Lead table'!$W$10</f>
        <v>100</v>
      </c>
      <c r="D36" s="10" t="str">
        <f aca="false">IF(C36&gt;B36,"Safe door — "&amp;'Lead table'!$R$10&amp;" into the past","CLOSED TIMELIKE CURVE — "&amp;'Lead table'!$R$10&amp;" of lead with no light-time to hide it")</f>
        <v>Safe door — 88 years into the past</v>
      </c>
    </row>
    <row r="37" customFormat="false" ht="15" hidden="false" customHeight="true" outlineLevel="0" collapsed="false">
      <c r="A37" s="30" t="str">
        <f aca="false">'Lead table'!$A$11</f>
        <v>Your ship B (coast)</v>
      </c>
      <c r="B37" s="60" t="n">
        <f aca="false">'Lead table'!$Q$11</f>
        <v>1.13784624565876</v>
      </c>
      <c r="C37" s="60" t="n">
        <f aca="false">'Lead table'!$W$11</f>
        <v>4.2465</v>
      </c>
      <c r="D37" s="10" t="str">
        <f aca="false">IF(C37&gt;B37,"Safe door — "&amp;'Lead table'!$R$11&amp;" into the past","CLOSED TIMELIKE CURVE — "&amp;'Lead table'!$R$11&amp;" of lead with no light-time to hide it")</f>
        <v>Safe door — 1.1 years into the past</v>
      </c>
    </row>
    <row r="38" customFormat="false" ht="45" hidden="false" customHeight="true" outlineLevel="0" collapsed="false">
      <c r="A38" s="33" t="s">
        <v>459</v>
      </c>
      <c r="B38" s="33"/>
      <c r="C38" s="33"/>
      <c r="D38" s="33"/>
    </row>
    <row r="39" customFormat="false" ht="30" hidden="false" customHeight="true" outlineLevel="0" collapsed="false">
      <c r="A39" s="33" t="s">
        <v>460</v>
      </c>
      <c r="B39" s="33"/>
      <c r="C39" s="33"/>
      <c r="D39" s="33"/>
    </row>
  </sheetData>
  <mergeCells count="3">
    <mergeCell ref="A2:D2"/>
    <mergeCell ref="A38:D38"/>
    <mergeCell ref="A39:D39"/>
  </mergeCells>
  <dataValidations count="1">
    <dataValidation allowBlank="false" errorStyle="stop" operator="between" showDropDown="false" showErrorMessage="false" showInputMessage="false" sqref="B8" type="list">
      <formula1>'Lead table'!$A$5:$A$11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8"/>
    <col collapsed="false" customWidth="true" hidden="false" outlineLevel="0" max="3" min="3" style="1" width="14"/>
    <col collapsed="false" customWidth="true" hidden="false" outlineLevel="0" max="4" min="4" style="1" width="78"/>
  </cols>
  <sheetData>
    <row r="1" customFormat="false" ht="18" hidden="false" customHeight="true" outlineLevel="0" collapsed="false">
      <c r="A1" s="2" t="s">
        <v>461</v>
      </c>
      <c r="B1" s="3"/>
      <c r="C1" s="3"/>
      <c r="D1" s="3"/>
    </row>
    <row r="2" customFormat="false" ht="30" hidden="false" customHeight="true" outlineLevel="0" collapsed="false">
      <c r="A2" s="4" t="s">
        <v>462</v>
      </c>
      <c r="B2" s="4"/>
      <c r="C2" s="4"/>
      <c r="D2" s="4"/>
    </row>
    <row r="3" customFormat="false" ht="15" hidden="false" customHeight="true" outlineLevel="0" collapsed="false">
      <c r="A3" s="3"/>
      <c r="B3" s="3"/>
      <c r="C3" s="3"/>
      <c r="D3" s="3"/>
    </row>
    <row r="4" customFormat="false" ht="15" hidden="false" customHeight="true" outlineLevel="0" collapsed="false">
      <c r="A4" s="3"/>
      <c r="B4" s="3"/>
      <c r="C4" s="3"/>
      <c r="D4" s="3"/>
    </row>
    <row r="5" customFormat="false" ht="15" hidden="false" customHeight="true" outlineLevel="0" collapsed="false">
      <c r="A5" s="13" t="s">
        <v>424</v>
      </c>
      <c r="B5" s="13"/>
      <c r="C5" s="13"/>
      <c r="D5" s="13"/>
    </row>
    <row r="6" customFormat="false" ht="15" hidden="false" customHeight="true" outlineLevel="0" collapsed="false">
      <c r="A6" s="14" t="s">
        <v>130</v>
      </c>
      <c r="B6" s="14" t="s">
        <v>131</v>
      </c>
      <c r="C6" s="14" t="s">
        <v>132</v>
      </c>
      <c r="D6" s="14" t="s">
        <v>133</v>
      </c>
    </row>
    <row r="7" customFormat="false" ht="15" hidden="false" customHeight="true" outlineLevel="0" collapsed="false">
      <c r="A7" s="7" t="s">
        <v>463</v>
      </c>
      <c r="B7" s="19" t="n">
        <v>1000</v>
      </c>
      <c r="C7" s="7" t="s">
        <v>174</v>
      </c>
      <c r="D7" s="6" t="s">
        <v>162</v>
      </c>
    </row>
    <row r="8" customFormat="false" ht="15" hidden="false" customHeight="true" outlineLevel="0" collapsed="false">
      <c r="A8" s="7" t="s">
        <v>464</v>
      </c>
      <c r="B8" s="61" t="n">
        <v>0.05</v>
      </c>
      <c r="C8" s="7" t="s">
        <v>465</v>
      </c>
      <c r="D8" s="6" t="s">
        <v>466</v>
      </c>
    </row>
    <row r="9" customFormat="false" ht="15" hidden="false" customHeight="true" outlineLevel="0" collapsed="false">
      <c r="A9" s="7" t="s">
        <v>467</v>
      </c>
      <c r="B9" s="19" t="n">
        <v>2000</v>
      </c>
      <c r="C9" s="7" t="s">
        <v>174</v>
      </c>
      <c r="D9" s="6" t="s">
        <v>162</v>
      </c>
    </row>
    <row r="10" customFormat="false" ht="15" hidden="false" customHeight="true" outlineLevel="0" collapsed="false">
      <c r="A10" s="7" t="s">
        <v>163</v>
      </c>
      <c r="B10" s="31" t="n">
        <f aca="false">Chrysalis!$B$21</f>
        <v>27</v>
      </c>
      <c r="C10" s="7" t="s">
        <v>150</v>
      </c>
      <c r="D10" s="6" t="s">
        <v>468</v>
      </c>
    </row>
    <row r="11" customFormat="false" ht="15" hidden="false" customHeight="true" outlineLevel="0" collapsed="false">
      <c r="A11" s="7" t="s">
        <v>469</v>
      </c>
      <c r="B11" s="31" t="n">
        <f aca="false">Chrysalis!$B$13</f>
        <v>400</v>
      </c>
      <c r="C11" s="7" t="s">
        <v>150</v>
      </c>
      <c r="D11" s="6" t="s">
        <v>468</v>
      </c>
    </row>
    <row r="12" customFormat="false" ht="15" hidden="false" customHeight="true" outlineLevel="0" collapsed="false">
      <c r="A12" s="7" t="s">
        <v>470</v>
      </c>
      <c r="B12" s="31" t="n">
        <f aca="false">Chrysalis!$B$30</f>
        <v>58000</v>
      </c>
      <c r="C12" s="7" t="s">
        <v>174</v>
      </c>
      <c r="D12" s="6" t="s">
        <v>468</v>
      </c>
    </row>
    <row r="13" customFormat="false" ht="15" hidden="false" customHeight="true" outlineLevel="0" collapsed="false">
      <c r="A13" s="7" t="s">
        <v>315</v>
      </c>
      <c r="B13" s="52" t="n">
        <f aca="false">Chrysalis!$B$31</f>
        <v>2400000000000</v>
      </c>
      <c r="C13" s="7" t="s">
        <v>176</v>
      </c>
      <c r="D13" s="6" t="s">
        <v>468</v>
      </c>
    </row>
    <row r="14" customFormat="false" ht="15" hidden="false" customHeight="true" outlineLevel="0" collapsed="false">
      <c r="A14" s="7" t="s">
        <v>471</v>
      </c>
      <c r="B14" s="31" t="n">
        <f aca="false">Chrysalis!$B$29</f>
        <v>3000</v>
      </c>
      <c r="C14" s="7" t="s">
        <v>174</v>
      </c>
      <c r="D14" s="6" t="s">
        <v>468</v>
      </c>
    </row>
    <row r="15" customFormat="false" ht="15" hidden="false" customHeight="true" outlineLevel="0" collapsed="false">
      <c r="A15" s="7" t="s">
        <v>472</v>
      </c>
      <c r="B15" s="62" t="n">
        <f aca="false">Chrysalis!$B$41</f>
        <v>171.522447510523</v>
      </c>
      <c r="C15" s="7" t="s">
        <v>180</v>
      </c>
      <c r="D15" s="6" t="s">
        <v>468</v>
      </c>
    </row>
    <row r="16" customFormat="false" ht="15" hidden="false" customHeight="true" outlineLevel="0" collapsed="false">
      <c r="A16" s="7" t="s">
        <v>473</v>
      </c>
      <c r="B16" s="58" t="n">
        <f aca="false">Chrysalis!$B$14</f>
        <v>1</v>
      </c>
      <c r="C16" s="7" t="s">
        <v>153</v>
      </c>
      <c r="D16" s="6" t="s">
        <v>468</v>
      </c>
    </row>
    <row r="17" customFormat="false" ht="15" hidden="false" customHeight="true" outlineLevel="0" collapsed="false">
      <c r="A17" s="7" t="s">
        <v>474</v>
      </c>
      <c r="B17" s="52" t="n">
        <f aca="false">Chrysalis!$B$80</f>
        <v>2128107460692.75</v>
      </c>
      <c r="C17" s="7" t="s">
        <v>176</v>
      </c>
      <c r="D17" s="6" t="s">
        <v>468</v>
      </c>
    </row>
    <row r="18" customFormat="false" ht="23.25" hidden="false" customHeight="true" outlineLevel="0" collapsed="false">
      <c r="A18" s="7" t="s">
        <v>475</v>
      </c>
      <c r="B18" s="23" t="n">
        <f aca="false">Chrysalis!$B$93+Chrysalis!$B$94</f>
        <v>1910.6077374629</v>
      </c>
      <c r="C18" s="7" t="s">
        <v>176</v>
      </c>
      <c r="D18" s="6" t="s">
        <v>476</v>
      </c>
    </row>
    <row r="19" customFormat="false" ht="15" hidden="false" customHeight="true" outlineLevel="0" collapsed="false">
      <c r="A19" s="3"/>
      <c r="B19" s="3"/>
      <c r="C19" s="3"/>
      <c r="D19" s="3"/>
    </row>
    <row r="20" customFormat="false" ht="15" hidden="false" customHeight="true" outlineLevel="0" collapsed="false">
      <c r="A20" s="13" t="s">
        <v>477</v>
      </c>
      <c r="B20" s="13"/>
      <c r="C20" s="13"/>
      <c r="D20" s="13"/>
    </row>
    <row r="21" customFormat="false" ht="15" hidden="false" customHeight="true" outlineLevel="0" collapsed="false">
      <c r="A21" s="14" t="s">
        <v>130</v>
      </c>
      <c r="B21" s="14" t="s">
        <v>131</v>
      </c>
      <c r="C21" s="14" t="s">
        <v>132</v>
      </c>
      <c r="D21" s="14" t="s">
        <v>133</v>
      </c>
    </row>
    <row r="22" customFormat="false" ht="15" hidden="false" customHeight="true" outlineLevel="0" collapsed="false">
      <c r="A22" s="7" t="s">
        <v>247</v>
      </c>
      <c r="B22" s="28" t="n">
        <f aca="false">$B$11/$B$10</f>
        <v>14.8148148148148</v>
      </c>
      <c r="C22" s="7"/>
      <c r="D22" s="6"/>
    </row>
    <row r="23" customFormat="false" ht="15" hidden="false" customHeight="true" outlineLevel="0" collapsed="false">
      <c r="A23" s="7" t="s">
        <v>478</v>
      </c>
      <c r="B23" s="54" t="n">
        <f aca="false">INT($B$22)</f>
        <v>14</v>
      </c>
      <c r="C23" s="7"/>
      <c r="D23" s="6"/>
    </row>
    <row r="24" customFormat="false" ht="15" hidden="false" customHeight="true" outlineLevel="0" collapsed="false">
      <c r="A24" s="7" t="s">
        <v>479</v>
      </c>
      <c r="B24" s="24" t="n">
        <f aca="false">$B$13/$B$12</f>
        <v>41379310.3448276</v>
      </c>
      <c r="C24" s="7" t="s">
        <v>480</v>
      </c>
      <c r="D24" s="6"/>
    </row>
    <row r="25" customFormat="false" ht="15" hidden="false" customHeight="true" outlineLevel="0" collapsed="false">
      <c r="A25" s="7" t="s">
        <v>481</v>
      </c>
      <c r="B25" s="24" t="n">
        <f aca="false">$B$24*$B$7</f>
        <v>41379310344.8276</v>
      </c>
      <c r="C25" s="7" t="s">
        <v>176</v>
      </c>
      <c r="D25" s="6"/>
    </row>
    <row r="26" customFormat="false" ht="15" hidden="false" customHeight="true" outlineLevel="0" collapsed="false">
      <c r="A26" s="7" t="s">
        <v>482</v>
      </c>
      <c r="B26" s="24" t="n">
        <f aca="false">$B$25*$B$23</f>
        <v>579310344827.586</v>
      </c>
      <c r="C26" s="7" t="s">
        <v>176</v>
      </c>
      <c r="D26" s="6"/>
    </row>
    <row r="27" customFormat="false" ht="15" hidden="false" customHeight="true" outlineLevel="0" collapsed="false">
      <c r="A27" s="7" t="s">
        <v>483</v>
      </c>
      <c r="B27" s="23" t="n">
        <f aca="false">$B$7*$B$23</f>
        <v>14000</v>
      </c>
      <c r="C27" s="7" t="s">
        <v>174</v>
      </c>
      <c r="D27" s="6"/>
    </row>
    <row r="28" customFormat="false" ht="15" hidden="false" customHeight="true" outlineLevel="0" collapsed="false">
      <c r="A28" s="7" t="s">
        <v>484</v>
      </c>
      <c r="B28" s="28" t="n">
        <f aca="false">($B$12+$B$27)/1000</f>
        <v>72</v>
      </c>
      <c r="C28" s="7" t="s">
        <v>135</v>
      </c>
      <c r="D28" s="6" t="s">
        <v>485</v>
      </c>
    </row>
    <row r="29" customFormat="false" ht="15" hidden="false" customHeight="true" outlineLevel="0" collapsed="false">
      <c r="A29" s="7" t="s">
        <v>486</v>
      </c>
      <c r="B29" s="32" t="n">
        <f aca="false">$B$27/$B$12</f>
        <v>0.241379310344828</v>
      </c>
      <c r="C29" s="7"/>
      <c r="D29" s="6"/>
    </row>
    <row r="30" customFormat="false" ht="15" hidden="false" customHeight="true" outlineLevel="0" collapsed="false">
      <c r="A30" s="7" t="s">
        <v>487</v>
      </c>
      <c r="B30" s="24" t="n">
        <f aca="false">$B$17*$B$8</f>
        <v>106405373034.638</v>
      </c>
      <c r="C30" s="7" t="s">
        <v>176</v>
      </c>
      <c r="D30" s="6"/>
    </row>
    <row r="31" customFormat="false" ht="15" hidden="false" customHeight="true" outlineLevel="0" collapsed="false">
      <c r="A31" s="7" t="s">
        <v>488</v>
      </c>
      <c r="B31" s="32" t="n">
        <f aca="false">$B$30/$B$26</f>
        <v>0.183675941547887</v>
      </c>
      <c r="C31" s="7"/>
      <c r="D31" s="6" t="s">
        <v>489</v>
      </c>
    </row>
    <row r="32" customFormat="false" ht="15" hidden="false" customHeight="true" outlineLevel="0" collapsed="false">
      <c r="A32" s="7" t="s">
        <v>490</v>
      </c>
      <c r="B32" s="23" t="n">
        <f aca="false">$B$30/$B$24/$B$23</f>
        <v>183.675941547886</v>
      </c>
      <c r="C32" s="7" t="s">
        <v>174</v>
      </c>
      <c r="D32" s="6"/>
    </row>
    <row r="33" customFormat="false" ht="15" hidden="false" customHeight="true" outlineLevel="0" collapsed="false">
      <c r="A33" s="7" t="s">
        <v>491</v>
      </c>
      <c r="B33" s="23" t="n">
        <f aca="false">$B$32*$B$23</f>
        <v>2571.46318167041</v>
      </c>
      <c r="C33" s="7" t="s">
        <v>174</v>
      </c>
      <c r="D33" s="6"/>
    </row>
    <row r="34" customFormat="false" ht="15" hidden="false" customHeight="true" outlineLevel="0" collapsed="false">
      <c r="A34" s="3"/>
      <c r="B34" s="3"/>
      <c r="C34" s="3"/>
      <c r="D34" s="3"/>
    </row>
    <row r="35" customFormat="false" ht="15" hidden="false" customHeight="true" outlineLevel="0" collapsed="false">
      <c r="A35" s="13" t="s">
        <v>492</v>
      </c>
      <c r="B35" s="13"/>
      <c r="C35" s="13"/>
      <c r="D35" s="13"/>
    </row>
    <row r="36" customFormat="false" ht="15" hidden="false" customHeight="true" outlineLevel="0" collapsed="false">
      <c r="A36" s="14" t="s">
        <v>130</v>
      </c>
      <c r="B36" s="14" t="s">
        <v>131</v>
      </c>
      <c r="C36" s="14" t="s">
        <v>132</v>
      </c>
      <c r="D36" s="14" t="s">
        <v>133</v>
      </c>
    </row>
    <row r="37" customFormat="false" ht="15" hidden="false" customHeight="true" outlineLevel="0" collapsed="false">
      <c r="A37" s="7" t="s">
        <v>493</v>
      </c>
      <c r="B37" s="28" t="n">
        <f aca="false">$B$7/$B$10</f>
        <v>37.037037037037</v>
      </c>
      <c r="C37" s="7" t="s">
        <v>494</v>
      </c>
      <c r="D37" s="6"/>
    </row>
    <row r="38" customFormat="false" ht="15" hidden="false" customHeight="true" outlineLevel="0" collapsed="false">
      <c r="A38" s="7" t="s">
        <v>495</v>
      </c>
      <c r="B38" s="28" t="n">
        <f aca="false">$B$37*100/365.25</f>
        <v>10.1401881004893</v>
      </c>
      <c r="C38" s="7" t="s">
        <v>496</v>
      </c>
      <c r="D38" s="6"/>
    </row>
    <row r="39" customFormat="false" ht="15" hidden="false" customHeight="true" outlineLevel="0" collapsed="false">
      <c r="A39" s="7" t="s">
        <v>497</v>
      </c>
      <c r="B39" s="28" t="n">
        <f aca="false">$B$27/1000</f>
        <v>14</v>
      </c>
      <c r="C39" s="7" t="s">
        <v>135</v>
      </c>
      <c r="D39" s="6"/>
    </row>
    <row r="40" customFormat="false" ht="15" hidden="false" customHeight="true" outlineLevel="0" collapsed="false">
      <c r="A40" s="7" t="s">
        <v>498</v>
      </c>
      <c r="B40" s="29" t="n">
        <f aca="false">$B$33/1000</f>
        <v>2.57146318167041</v>
      </c>
      <c r="C40" s="7" t="s">
        <v>135</v>
      </c>
      <c r="D40" s="6"/>
    </row>
    <row r="41" customFormat="false" ht="15" hidden="false" customHeight="true" outlineLevel="0" collapsed="false">
      <c r="A41" s="3"/>
      <c r="B41" s="3"/>
      <c r="C41" s="3"/>
      <c r="D41" s="3"/>
    </row>
    <row r="42" customFormat="false" ht="15" hidden="false" customHeight="true" outlineLevel="0" collapsed="false">
      <c r="A42" s="13" t="s">
        <v>499</v>
      </c>
      <c r="B42" s="13"/>
      <c r="C42" s="13"/>
      <c r="D42" s="13"/>
    </row>
    <row r="43" customFormat="false" ht="15" hidden="false" customHeight="true" outlineLevel="0" collapsed="false">
      <c r="A43" s="14" t="s">
        <v>130</v>
      </c>
      <c r="B43" s="14" t="s">
        <v>131</v>
      </c>
      <c r="C43" s="14" t="s">
        <v>132</v>
      </c>
      <c r="D43" s="14" t="s">
        <v>133</v>
      </c>
    </row>
    <row r="44" customFormat="false" ht="15" hidden="false" customHeight="true" outlineLevel="0" collapsed="false">
      <c r="A44" s="7" t="s">
        <v>500</v>
      </c>
      <c r="B44" s="24" t="n">
        <f aca="false">0.5*$B$25*$B$15^2</f>
        <v>608688620689655</v>
      </c>
      <c r="C44" s="7" t="s">
        <v>259</v>
      </c>
      <c r="D44" s="6"/>
    </row>
    <row r="45" customFormat="false" ht="15" hidden="false" customHeight="true" outlineLevel="0" collapsed="false">
      <c r="A45" s="7" t="s">
        <v>501</v>
      </c>
      <c r="B45" s="28" t="n">
        <f aca="false">$B$44/3600000000000</f>
        <v>169.080172413793</v>
      </c>
      <c r="C45" s="7" t="s">
        <v>502</v>
      </c>
      <c r="D45" s="6" t="s">
        <v>503</v>
      </c>
    </row>
    <row r="46" customFormat="false" ht="15" hidden="false" customHeight="true" outlineLevel="0" collapsed="false">
      <c r="A46" s="7" t="s">
        <v>504</v>
      </c>
      <c r="B46" s="26" t="n">
        <f aca="false">$B$16*($B$13/($B$13+$B$25))^2</f>
        <v>0.966388968687159</v>
      </c>
      <c r="C46" s="7" t="s">
        <v>153</v>
      </c>
      <c r="D46" s="6" t="s">
        <v>505</v>
      </c>
    </row>
    <row r="47" customFormat="false" ht="15" hidden="false" customHeight="true" outlineLevel="0" collapsed="false">
      <c r="A47" s="7" t="s">
        <v>506</v>
      </c>
      <c r="B47" s="7" t="s">
        <v>507</v>
      </c>
      <c r="C47" s="7"/>
      <c r="D47" s="6"/>
    </row>
    <row r="48" customFormat="false" ht="15" hidden="false" customHeight="true" outlineLevel="0" collapsed="false">
      <c r="A48" s="3"/>
      <c r="B48" s="3"/>
      <c r="C48" s="3"/>
      <c r="D48" s="3"/>
    </row>
    <row r="49" customFormat="false" ht="15" hidden="false" customHeight="true" outlineLevel="0" collapsed="false">
      <c r="A49" s="13" t="s">
        <v>508</v>
      </c>
      <c r="B49" s="13"/>
      <c r="C49" s="13"/>
      <c r="D49" s="13"/>
    </row>
    <row r="50" customFormat="false" ht="15" hidden="false" customHeight="true" outlineLevel="0" collapsed="false">
      <c r="A50" s="14" t="s">
        <v>130</v>
      </c>
      <c r="B50" s="14" t="s">
        <v>131</v>
      </c>
      <c r="C50" s="14" t="s">
        <v>132</v>
      </c>
      <c r="D50" s="14" t="s">
        <v>133</v>
      </c>
    </row>
    <row r="51" customFormat="false" ht="15" hidden="false" customHeight="true" outlineLevel="0" collapsed="false">
      <c r="A51" s="7" t="s">
        <v>509</v>
      </c>
      <c r="B51" s="28" t="n">
        <f aca="false">$B$15*$B$9/$B$14</f>
        <v>114.348298340348</v>
      </c>
      <c r="C51" s="7" t="s">
        <v>180</v>
      </c>
      <c r="D51" s="6"/>
    </row>
    <row r="52" customFormat="false" ht="15" hidden="false" customHeight="true" outlineLevel="0" collapsed="false">
      <c r="A52" s="7" t="s">
        <v>510</v>
      </c>
      <c r="B52" s="24" t="n">
        <f aca="false">($B$15^2-$B$51^2)/(2*Constants!$B$7^2)</f>
        <v>9.09280806016518E-014</v>
      </c>
      <c r="C52" s="7" t="s">
        <v>193</v>
      </c>
      <c r="D52" s="6"/>
    </row>
    <row r="53" customFormat="false" ht="15" hidden="false" customHeight="true" outlineLevel="0" collapsed="false">
      <c r="A53" s="7" t="s">
        <v>511</v>
      </c>
      <c r="B53" s="29" t="n">
        <f aca="false">$B$52*Constants!$B$11*1000000000</f>
        <v>7.85618616398272</v>
      </c>
      <c r="C53" s="7" t="s">
        <v>196</v>
      </c>
      <c r="D53" s="6"/>
    </row>
    <row r="54" customFormat="false" ht="15" hidden="false" customHeight="true" outlineLevel="0" collapsed="false">
      <c r="A54" s="7" t="s">
        <v>512</v>
      </c>
      <c r="B54" s="25" t="n">
        <f aca="false">$B$52*$B$11*Constants!$B$10*1000</f>
        <v>1.14778879855787</v>
      </c>
      <c r="C54" s="7" t="s">
        <v>204</v>
      </c>
      <c r="D54" s="6" t="s">
        <v>513</v>
      </c>
    </row>
    <row r="55" customFormat="false" ht="30" hidden="false" customHeight="true" outlineLevel="0" collapsed="false">
      <c r="A55" s="33" t="s">
        <v>514</v>
      </c>
      <c r="B55" s="33"/>
      <c r="C55" s="33"/>
      <c r="D55" s="33"/>
    </row>
  </sheetData>
  <mergeCells count="2">
    <mergeCell ref="A2:D2"/>
    <mergeCell ref="A55:D5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8"/>
    <col collapsed="false" customWidth="true" hidden="false" outlineLevel="0" max="3" min="3" style="1" width="14"/>
    <col collapsed="false" customWidth="true" hidden="false" outlineLevel="0" max="4" min="4" style="1" width="78"/>
  </cols>
  <sheetData>
    <row r="1" customFormat="false" ht="18" hidden="false" customHeight="true" outlineLevel="0" collapsed="false">
      <c r="A1" s="2" t="s">
        <v>515</v>
      </c>
      <c r="B1" s="3"/>
      <c r="C1" s="3"/>
      <c r="D1" s="3"/>
    </row>
    <row r="2" customFormat="false" ht="30" hidden="false" customHeight="true" outlineLevel="0" collapsed="false">
      <c r="A2" s="4" t="s">
        <v>516</v>
      </c>
      <c r="B2" s="4"/>
      <c r="C2" s="4"/>
      <c r="D2" s="4"/>
    </row>
    <row r="3" customFormat="false" ht="15" hidden="false" customHeight="true" outlineLevel="0" collapsed="false">
      <c r="A3" s="3"/>
      <c r="B3" s="3"/>
      <c r="C3" s="3"/>
      <c r="D3" s="3"/>
    </row>
    <row r="4" customFormat="false" ht="15" hidden="false" customHeight="true" outlineLevel="0" collapsed="false">
      <c r="A4" s="3"/>
      <c r="B4" s="3"/>
      <c r="C4" s="3"/>
      <c r="D4" s="3"/>
    </row>
    <row r="5" customFormat="false" ht="15" hidden="false" customHeight="true" outlineLevel="0" collapsed="false">
      <c r="A5" s="13" t="s">
        <v>424</v>
      </c>
      <c r="B5" s="13"/>
      <c r="C5" s="13"/>
      <c r="D5" s="13"/>
    </row>
    <row r="6" customFormat="false" ht="15" hidden="false" customHeight="true" outlineLevel="0" collapsed="false">
      <c r="A6" s="14" t="s">
        <v>130</v>
      </c>
      <c r="B6" s="14" t="s">
        <v>131</v>
      </c>
      <c r="C6" s="14" t="s">
        <v>132</v>
      </c>
      <c r="D6" s="14" t="s">
        <v>133</v>
      </c>
    </row>
    <row r="7" customFormat="false" ht="15" hidden="false" customHeight="true" outlineLevel="0" collapsed="false">
      <c r="A7" s="7" t="s">
        <v>517</v>
      </c>
      <c r="B7" s="31" t="n">
        <f aca="false">Chrysalis!$B$10</f>
        <v>2400</v>
      </c>
      <c r="C7" s="7" t="s">
        <v>143</v>
      </c>
      <c r="D7" s="6" t="s">
        <v>518</v>
      </c>
    </row>
    <row r="8" customFormat="false" ht="15" hidden="false" customHeight="true" outlineLevel="0" collapsed="false">
      <c r="A8" s="7" t="s">
        <v>519</v>
      </c>
      <c r="B8" s="19" t="n">
        <v>60</v>
      </c>
      <c r="C8" s="7" t="s">
        <v>143</v>
      </c>
      <c r="D8" s="6" t="s">
        <v>162</v>
      </c>
    </row>
    <row r="9" customFormat="false" ht="15" hidden="false" customHeight="true" outlineLevel="0" collapsed="false">
      <c r="A9" s="7" t="s">
        <v>520</v>
      </c>
      <c r="B9" s="19" t="n">
        <v>10</v>
      </c>
      <c r="C9" s="7" t="s">
        <v>150</v>
      </c>
      <c r="D9" s="6" t="s">
        <v>162</v>
      </c>
    </row>
    <row r="10" customFormat="false" ht="15" hidden="false" customHeight="true" outlineLevel="0" collapsed="false">
      <c r="A10" s="7" t="s">
        <v>469</v>
      </c>
      <c r="B10" s="31" t="n">
        <f aca="false">Chrysalis!$B$13</f>
        <v>400</v>
      </c>
      <c r="C10" s="7" t="s">
        <v>150</v>
      </c>
      <c r="D10" s="6" t="s">
        <v>468</v>
      </c>
    </row>
    <row r="11" customFormat="false" ht="15" hidden="false" customHeight="true" outlineLevel="0" collapsed="false">
      <c r="A11" s="7" t="s">
        <v>521</v>
      </c>
      <c r="B11" s="22" t="n">
        <v>3</v>
      </c>
      <c r="C11" s="7" t="s">
        <v>522</v>
      </c>
      <c r="D11" s="6" t="s">
        <v>162</v>
      </c>
    </row>
    <row r="12" customFormat="false" ht="15" hidden="false" customHeight="true" outlineLevel="0" collapsed="false">
      <c r="A12" s="7" t="s">
        <v>523</v>
      </c>
      <c r="B12" s="19" t="n">
        <v>150</v>
      </c>
      <c r="C12" s="7" t="s">
        <v>351</v>
      </c>
      <c r="D12" s="6" t="s">
        <v>524</v>
      </c>
    </row>
    <row r="13" customFormat="false" ht="15" hidden="false" customHeight="true" outlineLevel="0" collapsed="false">
      <c r="A13" s="7" t="s">
        <v>525</v>
      </c>
      <c r="B13" s="19" t="n">
        <v>300</v>
      </c>
      <c r="C13" s="7" t="s">
        <v>522</v>
      </c>
      <c r="D13" s="6" t="s">
        <v>162</v>
      </c>
    </row>
    <row r="14" customFormat="false" ht="15" hidden="false" customHeight="true" outlineLevel="0" collapsed="false">
      <c r="A14" s="7" t="s">
        <v>526</v>
      </c>
      <c r="B14" s="63" t="n">
        <v>0.5</v>
      </c>
      <c r="C14" s="7"/>
      <c r="D14" s="6" t="s">
        <v>162</v>
      </c>
    </row>
    <row r="15" customFormat="false" ht="15" hidden="false" customHeight="true" outlineLevel="0" collapsed="false">
      <c r="A15" s="7" t="s">
        <v>321</v>
      </c>
      <c r="B15" s="53" t="n">
        <f aca="false">Chrysalis!$B$22</f>
        <v>2125</v>
      </c>
      <c r="C15" s="7" t="s">
        <v>165</v>
      </c>
      <c r="D15" s="6" t="s">
        <v>468</v>
      </c>
    </row>
    <row r="16" customFormat="false" ht="15" hidden="false" customHeight="true" outlineLevel="0" collapsed="false">
      <c r="A16" s="7" t="s">
        <v>322</v>
      </c>
      <c r="B16" s="31" t="n">
        <f aca="false">Chrysalis!$B$23</f>
        <v>25</v>
      </c>
      <c r="C16" s="7" t="s">
        <v>150</v>
      </c>
      <c r="D16" s="6" t="s">
        <v>468</v>
      </c>
    </row>
    <row r="17" customFormat="false" ht="15" hidden="false" customHeight="true" outlineLevel="0" collapsed="false">
      <c r="A17" s="7" t="s">
        <v>315</v>
      </c>
      <c r="B17" s="52" t="n">
        <f aca="false">Chrysalis!$B$31</f>
        <v>2400000000000</v>
      </c>
      <c r="C17" s="7" t="s">
        <v>176</v>
      </c>
      <c r="D17" s="6" t="s">
        <v>468</v>
      </c>
    </row>
    <row r="18" customFormat="false" ht="15" hidden="false" customHeight="true" outlineLevel="0" collapsed="false">
      <c r="A18" s="7" t="s">
        <v>527</v>
      </c>
      <c r="B18" s="52" t="n">
        <f aca="false">Chrysalis!$B$80</f>
        <v>2128107460692.75</v>
      </c>
      <c r="C18" s="7" t="s">
        <v>176</v>
      </c>
      <c r="D18" s="6" t="s">
        <v>468</v>
      </c>
    </row>
    <row r="19" customFormat="false" ht="15" hidden="false" customHeight="true" outlineLevel="0" collapsed="false">
      <c r="A19" s="7" t="s">
        <v>528</v>
      </c>
      <c r="B19" s="60" t="n">
        <f aca="false">Chrysalis!$B$19</f>
        <v>0.0333</v>
      </c>
      <c r="C19" s="7" t="s">
        <v>159</v>
      </c>
      <c r="D19" s="6" t="s">
        <v>468</v>
      </c>
    </row>
    <row r="20" customFormat="false" ht="15" hidden="false" customHeight="true" outlineLevel="0" collapsed="false">
      <c r="A20" s="7" t="s">
        <v>177</v>
      </c>
      <c r="B20" s="52" t="n">
        <f aca="false">Chrysalis!$B$32</f>
        <v>40000000000000000</v>
      </c>
      <c r="C20" s="7" t="s">
        <v>174</v>
      </c>
      <c r="D20" s="6" t="s">
        <v>468</v>
      </c>
    </row>
    <row r="21" customFormat="false" ht="15" hidden="false" customHeight="true" outlineLevel="0" collapsed="false">
      <c r="A21" s="7" t="s">
        <v>529</v>
      </c>
      <c r="B21" s="29" t="n">
        <f aca="false">'Lead table'!$Q$5*365.25</f>
        <v>8.16174479890086</v>
      </c>
      <c r="C21" s="7" t="s">
        <v>223</v>
      </c>
      <c r="D21" s="6" t="s">
        <v>530</v>
      </c>
    </row>
    <row r="22" customFormat="false" ht="15" hidden="false" customHeight="true" outlineLevel="0" collapsed="false">
      <c r="A22" s="3"/>
      <c r="B22" s="3"/>
      <c r="C22" s="3"/>
      <c r="D22" s="3"/>
    </row>
    <row r="23" customFormat="false" ht="15" hidden="false" customHeight="true" outlineLevel="0" collapsed="false">
      <c r="A23" s="13" t="s">
        <v>531</v>
      </c>
      <c r="B23" s="13"/>
      <c r="C23" s="13"/>
      <c r="D23" s="13"/>
    </row>
    <row r="24" customFormat="false" ht="15" hidden="false" customHeight="true" outlineLevel="0" collapsed="false">
      <c r="A24" s="14" t="s">
        <v>130</v>
      </c>
      <c r="B24" s="14" t="s">
        <v>131</v>
      </c>
      <c r="C24" s="14" t="s">
        <v>132</v>
      </c>
      <c r="D24" s="14" t="s">
        <v>133</v>
      </c>
    </row>
    <row r="25" customFormat="false" ht="15" hidden="false" customHeight="true" outlineLevel="0" collapsed="false">
      <c r="A25" s="7" t="s">
        <v>532</v>
      </c>
      <c r="B25" s="28" t="n">
        <f aca="false">$B$10/$B$9</f>
        <v>40</v>
      </c>
      <c r="C25" s="7"/>
      <c r="D25" s="6"/>
    </row>
    <row r="26" customFormat="false" ht="15" hidden="false" customHeight="true" outlineLevel="0" collapsed="false">
      <c r="A26" s="7" t="s">
        <v>533</v>
      </c>
      <c r="B26" s="23" t="n">
        <f aca="false">$B$25*$B$8</f>
        <v>2400</v>
      </c>
      <c r="C26" s="7"/>
      <c r="D26" s="6"/>
    </row>
    <row r="27" customFormat="false" ht="15" hidden="false" customHeight="true" outlineLevel="0" collapsed="false">
      <c r="A27" s="7" t="s">
        <v>534</v>
      </c>
      <c r="B27" s="29" t="n">
        <f aca="false">$B$26/$B$7</f>
        <v>1</v>
      </c>
      <c r="C27" s="7"/>
      <c r="D27" s="6" t="s">
        <v>535</v>
      </c>
    </row>
    <row r="28" customFormat="false" ht="15" hidden="false" customHeight="true" outlineLevel="0" collapsed="false">
      <c r="A28" s="7" t="s">
        <v>536</v>
      </c>
      <c r="B28" s="28" t="n">
        <f aca="false">$B$27*$B$9</f>
        <v>10</v>
      </c>
      <c r="C28" s="7" t="s">
        <v>150</v>
      </c>
      <c r="D28" s="6"/>
    </row>
    <row r="29" customFormat="false" ht="15" hidden="false" customHeight="true" outlineLevel="0" collapsed="false">
      <c r="A29" s="7" t="s">
        <v>537</v>
      </c>
      <c r="B29" s="28" t="n">
        <f aca="false">$B$10-$B$28</f>
        <v>390</v>
      </c>
      <c r="C29" s="7" t="s">
        <v>150</v>
      </c>
      <c r="D29" s="6" t="s">
        <v>538</v>
      </c>
    </row>
    <row r="30" customFormat="false" ht="15" hidden="false" customHeight="true" outlineLevel="0" collapsed="false">
      <c r="A30" s="7" t="s">
        <v>539</v>
      </c>
      <c r="B30" s="32" t="n">
        <f aca="false">$B$8/$B$7</f>
        <v>0.025</v>
      </c>
      <c r="C30" s="7"/>
      <c r="D30" s="6"/>
    </row>
    <row r="31" customFormat="false" ht="15" hidden="false" customHeight="true" outlineLevel="0" collapsed="false">
      <c r="A31" s="7" t="s">
        <v>540</v>
      </c>
      <c r="B31" s="28" t="n">
        <f aca="false">$B$16+$B$28</f>
        <v>35</v>
      </c>
      <c r="C31" s="7" t="s">
        <v>150</v>
      </c>
      <c r="D31" s="6"/>
    </row>
    <row r="32" customFormat="false" ht="15" hidden="false" customHeight="true" outlineLevel="0" collapsed="false">
      <c r="A32" s="7" t="s">
        <v>541</v>
      </c>
      <c r="B32" s="23" t="n">
        <f aca="false">$B$16+$B$10</f>
        <v>425</v>
      </c>
      <c r="C32" s="7" t="s">
        <v>150</v>
      </c>
      <c r="D32" s="6"/>
    </row>
    <row r="33" customFormat="false" ht="15" hidden="false" customHeight="true" outlineLevel="0" collapsed="false">
      <c r="A33" s="7" t="s">
        <v>542</v>
      </c>
      <c r="B33" s="23" t="n">
        <f aca="false">$B$7-$B$8</f>
        <v>2340</v>
      </c>
      <c r="C33" s="7" t="s">
        <v>543</v>
      </c>
      <c r="D33" s="6"/>
    </row>
    <row r="34" customFormat="false" ht="15" hidden="false" customHeight="true" outlineLevel="0" collapsed="false">
      <c r="A34" s="7" t="s">
        <v>544</v>
      </c>
      <c r="B34" s="23" t="n">
        <f aca="false">$B$33*$B$11</f>
        <v>7020</v>
      </c>
      <c r="C34" s="7" t="s">
        <v>522</v>
      </c>
      <c r="D34" s="6"/>
    </row>
    <row r="35" customFormat="false" ht="15" hidden="false" customHeight="true" outlineLevel="0" collapsed="false">
      <c r="A35" s="7" t="s">
        <v>545</v>
      </c>
      <c r="B35" s="28" t="n">
        <f aca="false">$B$33*$B$12/1000</f>
        <v>351</v>
      </c>
      <c r="C35" s="7" t="s">
        <v>546</v>
      </c>
      <c r="D35" s="6" t="s">
        <v>547</v>
      </c>
    </row>
    <row r="36" customFormat="false" ht="15" hidden="false" customHeight="true" outlineLevel="0" collapsed="false">
      <c r="A36" s="3"/>
      <c r="B36" s="3"/>
      <c r="C36" s="3"/>
      <c r="D36" s="3"/>
    </row>
    <row r="37" customFormat="false" ht="15" hidden="false" customHeight="true" outlineLevel="0" collapsed="false">
      <c r="A37" s="13" t="s">
        <v>548</v>
      </c>
      <c r="B37" s="13"/>
      <c r="C37" s="13"/>
      <c r="D37" s="13"/>
    </row>
    <row r="38" customFormat="false" ht="15" hidden="false" customHeight="true" outlineLevel="0" collapsed="false">
      <c r="A38" s="14" t="s">
        <v>130</v>
      </c>
      <c r="B38" s="14" t="s">
        <v>131</v>
      </c>
      <c r="C38" s="14" t="s">
        <v>132</v>
      </c>
      <c r="D38" s="14" t="s">
        <v>133</v>
      </c>
    </row>
    <row r="39" customFormat="false" ht="15" hidden="false" customHeight="true" outlineLevel="0" collapsed="false">
      <c r="A39" s="7" t="s">
        <v>549</v>
      </c>
      <c r="B39" s="23" t="n">
        <f aca="false">$B$8*$B$13+$B$33*$B$11</f>
        <v>25020</v>
      </c>
      <c r="C39" s="7" t="s">
        <v>522</v>
      </c>
      <c r="D39" s="6"/>
    </row>
    <row r="40" customFormat="false" ht="15" hidden="false" customHeight="true" outlineLevel="0" collapsed="false">
      <c r="A40" s="7" t="s">
        <v>550</v>
      </c>
      <c r="B40" s="23" t="n">
        <f aca="false">$B$7*$B$13</f>
        <v>720000</v>
      </c>
      <c r="C40" s="7" t="s">
        <v>522</v>
      </c>
      <c r="D40" s="6"/>
    </row>
    <row r="41" customFormat="false" ht="15" hidden="false" customHeight="true" outlineLevel="0" collapsed="false">
      <c r="A41" s="7" t="s">
        <v>551</v>
      </c>
      <c r="B41" s="32" t="n">
        <f aca="false">$B$39/$B$40</f>
        <v>0.03475</v>
      </c>
      <c r="C41" s="7"/>
      <c r="D41" s="6"/>
    </row>
    <row r="42" customFormat="false" ht="15" hidden="false" customHeight="true" outlineLevel="0" collapsed="false">
      <c r="A42" s="7" t="s">
        <v>552</v>
      </c>
      <c r="B42" s="24" t="n">
        <f aca="false">$B$17*(1-$B$14*(1-$B$41))</f>
        <v>1241700000000</v>
      </c>
      <c r="C42" s="7" t="s">
        <v>176</v>
      </c>
      <c r="D42" s="6"/>
    </row>
    <row r="43" customFormat="false" ht="15" hidden="false" customHeight="true" outlineLevel="0" collapsed="false">
      <c r="A43" s="7" t="s">
        <v>553</v>
      </c>
      <c r="B43" s="24" t="n">
        <f aca="false">$B$19*Constants!$B$7*LN(($B$42+$B$18)/$B$42)</f>
        <v>9966858.35518754</v>
      </c>
      <c r="C43" s="7" t="s">
        <v>180</v>
      </c>
      <c r="D43" s="6"/>
    </row>
    <row r="44" customFormat="false" ht="15" hidden="false" customHeight="true" outlineLevel="0" collapsed="false">
      <c r="A44" s="7" t="s">
        <v>554</v>
      </c>
      <c r="B44" s="24" t="n">
        <f aca="false">$B$43/2</f>
        <v>4983429.17759377</v>
      </c>
      <c r="C44" s="7" t="s">
        <v>180</v>
      </c>
      <c r="D44" s="6"/>
    </row>
    <row r="45" customFormat="false" ht="15" hidden="false" customHeight="true" outlineLevel="0" collapsed="false">
      <c r="A45" s="7" t="s">
        <v>555</v>
      </c>
      <c r="B45" s="26" t="n">
        <f aca="false">$B$44/Constants!$B$7</f>
        <v>0.0166229304460814</v>
      </c>
      <c r="C45" s="7" t="s">
        <v>159</v>
      </c>
      <c r="D45" s="6"/>
    </row>
    <row r="46" customFormat="false" ht="15" hidden="false" customHeight="true" outlineLevel="0" collapsed="false">
      <c r="A46" s="7" t="s">
        <v>556</v>
      </c>
      <c r="B46" s="28" t="n">
        <f aca="false">$B$20/$B$44/Constants!$B$10</f>
        <v>254.347652467929</v>
      </c>
      <c r="C46" s="7" t="s">
        <v>150</v>
      </c>
      <c r="D46" s="6"/>
    </row>
    <row r="47" customFormat="false" ht="23.25" hidden="false" customHeight="true" outlineLevel="0" collapsed="false">
      <c r="A47" s="7" t="s">
        <v>557</v>
      </c>
      <c r="B47" s="28" t="n">
        <f aca="false">$B$10-$B$46</f>
        <v>145.652347532071</v>
      </c>
      <c r="C47" s="7" t="s">
        <v>150</v>
      </c>
      <c r="D47" s="6" t="s">
        <v>558</v>
      </c>
    </row>
    <row r="48" customFormat="false" ht="15" hidden="false" customHeight="true" outlineLevel="0" collapsed="false">
      <c r="A48" s="3"/>
      <c r="B48" s="3"/>
      <c r="C48" s="3"/>
      <c r="D48" s="3"/>
    </row>
    <row r="49" customFormat="false" ht="15" hidden="false" customHeight="true" outlineLevel="0" collapsed="false">
      <c r="A49" s="13" t="s">
        <v>559</v>
      </c>
      <c r="B49" s="13"/>
      <c r="C49" s="13"/>
      <c r="D49" s="13"/>
    </row>
    <row r="50" customFormat="false" ht="15" hidden="false" customHeight="true" outlineLevel="0" collapsed="false">
      <c r="A50" s="14" t="s">
        <v>560</v>
      </c>
      <c r="B50" s="14" t="s">
        <v>561</v>
      </c>
      <c r="C50" s="14" t="s">
        <v>562</v>
      </c>
      <c r="D50" s="14" t="s">
        <v>563</v>
      </c>
    </row>
    <row r="51" customFormat="false" ht="23.25" hidden="false" customHeight="true" outlineLevel="0" collapsed="false">
      <c r="A51" s="54" t="n">
        <f aca="false">IF(1&lt;=$B$25,1,"")</f>
        <v>1</v>
      </c>
      <c r="B51" s="64" t="str">
        <f aca="false">IF(1&lt;=$B$25,TEXT((1-1)*$B$9,"0")&amp;" → "&amp;TEXT(1*$B$9,"0"),"")</f>
        <v>0 → 10</v>
      </c>
      <c r="C51" s="54" t="n">
        <f aca="false">IF(1&lt;=$B$25,$B$15+(1-1)*$B$9,"")</f>
        <v>2125</v>
      </c>
      <c r="D51" s="10" t="str">
        <f aca="false">IF(1&lt;=$B$25,"Sleepers "&amp;TEXT((1-1)*$B$8+1,"#,##0")&amp;"–"&amp;TEXT(1*$B$8,"#,##0")&amp;" — they wake "&amp;TEXT((1-1)*$B$9,"0")&amp;" years after launch, among strangers from a century they never saw","")</f>
        <v>Sleepers 1–60 — they wake 0 years after launch, among strangers from a century they never saw</v>
      </c>
    </row>
    <row r="52" customFormat="false" ht="23.25" hidden="false" customHeight="true" outlineLevel="0" collapsed="false">
      <c r="A52" s="54" t="n">
        <f aca="false">IF(2&lt;=$B$25,2,"")</f>
        <v>2</v>
      </c>
      <c r="B52" s="64" t="str">
        <f aca="false">IF(2&lt;=$B$25,TEXT((2-1)*$B$9,"0")&amp;" → "&amp;TEXT(2*$B$9,"0"),"")</f>
        <v>10 → 20</v>
      </c>
      <c r="C52" s="54" t="n">
        <f aca="false">IF(2&lt;=$B$25,$B$15+(2-1)*$B$9,"")</f>
        <v>2135</v>
      </c>
      <c r="D52" s="10" t="str">
        <f aca="false">IF(2&lt;=$B$25,"Sleepers "&amp;TEXT((2-1)*$B$8+1,"#,##0")&amp;"–"&amp;TEXT(2*$B$8,"#,##0")&amp;" — they wake "&amp;TEXT((2-1)*$B$9,"0")&amp;" years after launch, among strangers from a century they never saw","")</f>
        <v>Sleepers 61–120 — they wake 10 years after launch, among strangers from a century they never saw</v>
      </c>
    </row>
    <row r="53" customFormat="false" ht="23.25" hidden="false" customHeight="true" outlineLevel="0" collapsed="false">
      <c r="A53" s="54" t="n">
        <f aca="false">IF(3&lt;=$B$25,3,"")</f>
        <v>3</v>
      </c>
      <c r="B53" s="64" t="str">
        <f aca="false">IF(3&lt;=$B$25,TEXT((3-1)*$B$9,"0")&amp;" → "&amp;TEXT(3*$B$9,"0"),"")</f>
        <v>20 → 30</v>
      </c>
      <c r="C53" s="54" t="n">
        <f aca="false">IF(3&lt;=$B$25,$B$15+(3-1)*$B$9,"")</f>
        <v>2145</v>
      </c>
      <c r="D53" s="10" t="str">
        <f aca="false">IF(3&lt;=$B$25,"Sleepers "&amp;TEXT((3-1)*$B$8+1,"#,##0")&amp;"–"&amp;TEXT(3*$B$8,"#,##0")&amp;" — they wake "&amp;TEXT((3-1)*$B$9,"0")&amp;" years after launch, among strangers from a century they never saw","")</f>
        <v>Sleepers 121–180 — they wake 20 years after launch, among strangers from a century they never saw</v>
      </c>
    </row>
    <row r="54" customFormat="false" ht="23.25" hidden="false" customHeight="true" outlineLevel="0" collapsed="false">
      <c r="A54" s="54" t="n">
        <f aca="false">IF(4&lt;=$B$25,4,"")</f>
        <v>4</v>
      </c>
      <c r="B54" s="64" t="str">
        <f aca="false">IF(4&lt;=$B$25,TEXT((4-1)*$B$9,"0")&amp;" → "&amp;TEXT(4*$B$9,"0"),"")</f>
        <v>30 → 40</v>
      </c>
      <c r="C54" s="54" t="n">
        <f aca="false">IF(4&lt;=$B$25,$B$15+(4-1)*$B$9,"")</f>
        <v>2155</v>
      </c>
      <c r="D54" s="10" t="str">
        <f aca="false">IF(4&lt;=$B$25,"Sleepers "&amp;TEXT((4-1)*$B$8+1,"#,##0")&amp;"–"&amp;TEXT(4*$B$8,"#,##0")&amp;" — they wake "&amp;TEXT((4-1)*$B$9,"0")&amp;" years after launch, among strangers from a century they never saw","")</f>
        <v>Sleepers 181–240 — they wake 30 years after launch, among strangers from a century they never saw</v>
      </c>
    </row>
    <row r="55" customFormat="false" ht="23.25" hidden="false" customHeight="true" outlineLevel="0" collapsed="false">
      <c r="A55" s="54" t="n">
        <f aca="false">IF(5&lt;=$B$25,5,"")</f>
        <v>5</v>
      </c>
      <c r="B55" s="64" t="str">
        <f aca="false">IF(5&lt;=$B$25,TEXT((5-1)*$B$9,"0")&amp;" → "&amp;TEXT(5*$B$9,"0"),"")</f>
        <v>40 → 50</v>
      </c>
      <c r="C55" s="54" t="n">
        <f aca="false">IF(5&lt;=$B$25,$B$15+(5-1)*$B$9,"")</f>
        <v>2165</v>
      </c>
      <c r="D55" s="10" t="str">
        <f aca="false">IF(5&lt;=$B$25,"Sleepers "&amp;TEXT((5-1)*$B$8+1,"#,##0")&amp;"–"&amp;TEXT(5*$B$8,"#,##0")&amp;" — they wake "&amp;TEXT((5-1)*$B$9,"0")&amp;" years after launch, among strangers from a century they never saw","")</f>
        <v>Sleepers 241–300 — they wake 40 years after launch, among strangers from a century they never saw</v>
      </c>
    </row>
    <row r="56" customFormat="false" ht="23.25" hidden="false" customHeight="true" outlineLevel="0" collapsed="false">
      <c r="A56" s="54" t="n">
        <f aca="false">IF(6&lt;=$B$25,6,"")</f>
        <v>6</v>
      </c>
      <c r="B56" s="64" t="str">
        <f aca="false">IF(6&lt;=$B$25,TEXT((6-1)*$B$9,"0")&amp;" → "&amp;TEXT(6*$B$9,"0"),"")</f>
        <v>50 → 60</v>
      </c>
      <c r="C56" s="54" t="n">
        <f aca="false">IF(6&lt;=$B$25,$B$15+(6-1)*$B$9,"")</f>
        <v>2175</v>
      </c>
      <c r="D56" s="10" t="str">
        <f aca="false">IF(6&lt;=$B$25,"Sleepers "&amp;TEXT((6-1)*$B$8+1,"#,##0")&amp;"–"&amp;TEXT(6*$B$8,"#,##0")&amp;" — they wake "&amp;TEXT((6-1)*$B$9,"0")&amp;" years after launch, among strangers from a century they never saw","")</f>
        <v>Sleepers 301–360 — they wake 50 years after launch, among strangers from a century they never saw</v>
      </c>
    </row>
    <row r="57" customFormat="false" ht="23.25" hidden="false" customHeight="true" outlineLevel="0" collapsed="false">
      <c r="A57" s="54" t="n">
        <f aca="false">IF(7&lt;=$B$25,7,"")</f>
        <v>7</v>
      </c>
      <c r="B57" s="64" t="str">
        <f aca="false">IF(7&lt;=$B$25,TEXT((7-1)*$B$9,"0")&amp;" → "&amp;TEXT(7*$B$9,"0"),"")</f>
        <v>60 → 70</v>
      </c>
      <c r="C57" s="54" t="n">
        <f aca="false">IF(7&lt;=$B$25,$B$15+(7-1)*$B$9,"")</f>
        <v>2185</v>
      </c>
      <c r="D57" s="10" t="str">
        <f aca="false">IF(7&lt;=$B$25,"Sleepers "&amp;TEXT((7-1)*$B$8+1,"#,##0")&amp;"–"&amp;TEXT(7*$B$8,"#,##0")&amp;" — they wake "&amp;TEXT((7-1)*$B$9,"0")&amp;" years after launch, among strangers from a century they never saw","")</f>
        <v>Sleepers 361–420 — they wake 60 years after launch, among strangers from a century they never saw</v>
      </c>
    </row>
    <row r="58" customFormat="false" ht="23.25" hidden="false" customHeight="true" outlineLevel="0" collapsed="false">
      <c r="A58" s="54" t="n">
        <f aca="false">IF(8&lt;=$B$25,8,"")</f>
        <v>8</v>
      </c>
      <c r="B58" s="64" t="str">
        <f aca="false">IF(8&lt;=$B$25,TEXT((8-1)*$B$9,"0")&amp;" → "&amp;TEXT(8*$B$9,"0"),"")</f>
        <v>70 → 80</v>
      </c>
      <c r="C58" s="54" t="n">
        <f aca="false">IF(8&lt;=$B$25,$B$15+(8-1)*$B$9,"")</f>
        <v>2195</v>
      </c>
      <c r="D58" s="10" t="str">
        <f aca="false">IF(8&lt;=$B$25,"Sleepers "&amp;TEXT((8-1)*$B$8+1,"#,##0")&amp;"–"&amp;TEXT(8*$B$8,"#,##0")&amp;" — they wake "&amp;TEXT((8-1)*$B$9,"0")&amp;" years after launch, among strangers from a century they never saw","")</f>
        <v>Sleepers 421–480 — they wake 70 years after launch, among strangers from a century they never saw</v>
      </c>
    </row>
    <row r="59" customFormat="false" ht="23.25" hidden="false" customHeight="true" outlineLevel="0" collapsed="false">
      <c r="A59" s="54" t="n">
        <f aca="false">IF(9&lt;=$B$25,9,"")</f>
        <v>9</v>
      </c>
      <c r="B59" s="64" t="str">
        <f aca="false">IF(9&lt;=$B$25,TEXT((9-1)*$B$9,"0")&amp;" → "&amp;TEXT(9*$B$9,"0"),"")</f>
        <v>80 → 90</v>
      </c>
      <c r="C59" s="54" t="n">
        <f aca="false">IF(9&lt;=$B$25,$B$15+(9-1)*$B$9,"")</f>
        <v>2205</v>
      </c>
      <c r="D59" s="10" t="str">
        <f aca="false">IF(9&lt;=$B$25,"Sleepers "&amp;TEXT((9-1)*$B$8+1,"#,##0")&amp;"–"&amp;TEXT(9*$B$8,"#,##0")&amp;" — they wake "&amp;TEXT((9-1)*$B$9,"0")&amp;" years after launch, among strangers from a century they never saw","")</f>
        <v>Sleepers 481–540 — they wake 80 years after launch, among strangers from a century they never saw</v>
      </c>
    </row>
    <row r="60" customFormat="false" ht="23.25" hidden="false" customHeight="true" outlineLevel="0" collapsed="false">
      <c r="A60" s="54" t="n">
        <f aca="false">IF(10&lt;=$B$25,10,"")</f>
        <v>10</v>
      </c>
      <c r="B60" s="64" t="str">
        <f aca="false">IF(10&lt;=$B$25,TEXT((10-1)*$B$9,"0")&amp;" → "&amp;TEXT(10*$B$9,"0"),"")</f>
        <v>90 → 100</v>
      </c>
      <c r="C60" s="54" t="n">
        <f aca="false">IF(10&lt;=$B$25,$B$15+(10-1)*$B$9,"")</f>
        <v>2215</v>
      </c>
      <c r="D60" s="10" t="str">
        <f aca="false">IF(10&lt;=$B$25,"Sleepers "&amp;TEXT((10-1)*$B$8+1,"#,##0")&amp;"–"&amp;TEXT(10*$B$8,"#,##0")&amp;" — they wake "&amp;TEXT((10-1)*$B$9,"0")&amp;" years after launch, among strangers from a century they never saw","")</f>
        <v>Sleepers 541–600 — they wake 90 years after launch, among strangers from a century they never saw</v>
      </c>
    </row>
    <row r="61" customFormat="false" ht="23.25" hidden="false" customHeight="true" outlineLevel="0" collapsed="false">
      <c r="A61" s="54" t="n">
        <f aca="false">IF(11&lt;=$B$25,11,"")</f>
        <v>11</v>
      </c>
      <c r="B61" s="64" t="str">
        <f aca="false">IF(11&lt;=$B$25,TEXT((11-1)*$B$9,"0")&amp;" → "&amp;TEXT(11*$B$9,"0"),"")</f>
        <v>100 → 110</v>
      </c>
      <c r="C61" s="54" t="n">
        <f aca="false">IF(11&lt;=$B$25,$B$15+(11-1)*$B$9,"")</f>
        <v>2225</v>
      </c>
      <c r="D61" s="10" t="str">
        <f aca="false">IF(11&lt;=$B$25,"Sleepers "&amp;TEXT((11-1)*$B$8+1,"#,##0")&amp;"–"&amp;TEXT(11*$B$8,"#,##0")&amp;" — they wake "&amp;TEXT((11-1)*$B$9,"0")&amp;" years after launch, among strangers from a century they never saw","")</f>
        <v>Sleepers 601–660 — they wake 100 years after launch, among strangers from a century they never saw</v>
      </c>
    </row>
    <row r="62" customFormat="false" ht="23.25" hidden="false" customHeight="true" outlineLevel="0" collapsed="false">
      <c r="A62" s="54" t="n">
        <f aca="false">IF(12&lt;=$B$25,12,"")</f>
        <v>12</v>
      </c>
      <c r="B62" s="64" t="str">
        <f aca="false">IF(12&lt;=$B$25,TEXT((12-1)*$B$9,"0")&amp;" → "&amp;TEXT(12*$B$9,"0"),"")</f>
        <v>110 → 120</v>
      </c>
      <c r="C62" s="54" t="n">
        <f aca="false">IF(12&lt;=$B$25,$B$15+(12-1)*$B$9,"")</f>
        <v>2235</v>
      </c>
      <c r="D62" s="10" t="str">
        <f aca="false">IF(12&lt;=$B$25,"Sleepers "&amp;TEXT((12-1)*$B$8+1,"#,##0")&amp;"–"&amp;TEXT(12*$B$8,"#,##0")&amp;" — they wake "&amp;TEXT((12-1)*$B$9,"0")&amp;" years after launch, among strangers from a century they never saw","")</f>
        <v>Sleepers 661–720 — they wake 110 years after launch, among strangers from a century they never saw</v>
      </c>
    </row>
    <row r="63" customFormat="false" ht="23.25" hidden="false" customHeight="true" outlineLevel="0" collapsed="false">
      <c r="A63" s="54" t="n">
        <f aca="false">IF(13&lt;=$B$25,13,"")</f>
        <v>13</v>
      </c>
      <c r="B63" s="64" t="str">
        <f aca="false">IF(13&lt;=$B$25,TEXT((13-1)*$B$9,"0")&amp;" → "&amp;TEXT(13*$B$9,"0"),"")</f>
        <v>120 → 130</v>
      </c>
      <c r="C63" s="54" t="n">
        <f aca="false">IF(13&lt;=$B$25,$B$15+(13-1)*$B$9,"")</f>
        <v>2245</v>
      </c>
      <c r="D63" s="10" t="str">
        <f aca="false">IF(13&lt;=$B$25,"Sleepers "&amp;TEXT((13-1)*$B$8+1,"#,##0")&amp;"–"&amp;TEXT(13*$B$8,"#,##0")&amp;" — they wake "&amp;TEXT((13-1)*$B$9,"0")&amp;" years after launch, among strangers from a century they never saw","")</f>
        <v>Sleepers 721–780 — they wake 120 years after launch, among strangers from a century they never saw</v>
      </c>
    </row>
    <row r="64" customFormat="false" ht="23.25" hidden="false" customHeight="true" outlineLevel="0" collapsed="false">
      <c r="A64" s="54" t="n">
        <f aca="false">IF(14&lt;=$B$25,14,"")</f>
        <v>14</v>
      </c>
      <c r="B64" s="64" t="str">
        <f aca="false">IF(14&lt;=$B$25,TEXT((14-1)*$B$9,"0")&amp;" → "&amp;TEXT(14*$B$9,"0"),"")</f>
        <v>130 → 140</v>
      </c>
      <c r="C64" s="54" t="n">
        <f aca="false">IF(14&lt;=$B$25,$B$15+(14-1)*$B$9,"")</f>
        <v>2255</v>
      </c>
      <c r="D64" s="10" t="str">
        <f aca="false">IF(14&lt;=$B$25,"Sleepers "&amp;TEXT((14-1)*$B$8+1,"#,##0")&amp;"–"&amp;TEXT(14*$B$8,"#,##0")&amp;" — they wake "&amp;TEXT((14-1)*$B$9,"0")&amp;" years after launch, among strangers from a century they never saw","")</f>
        <v>Sleepers 781–840 — they wake 130 years after launch, among strangers from a century they never saw</v>
      </c>
    </row>
    <row r="65" customFormat="false" ht="23.25" hidden="false" customHeight="true" outlineLevel="0" collapsed="false">
      <c r="A65" s="54" t="n">
        <f aca="false">IF(15&lt;=$B$25,15,"")</f>
        <v>15</v>
      </c>
      <c r="B65" s="64" t="str">
        <f aca="false">IF(15&lt;=$B$25,TEXT((15-1)*$B$9,"0")&amp;" → "&amp;TEXT(15*$B$9,"0"),"")</f>
        <v>140 → 150</v>
      </c>
      <c r="C65" s="54" t="n">
        <f aca="false">IF(15&lt;=$B$25,$B$15+(15-1)*$B$9,"")</f>
        <v>2265</v>
      </c>
      <c r="D65" s="10" t="str">
        <f aca="false">IF(15&lt;=$B$25,"Sleepers "&amp;TEXT((15-1)*$B$8+1,"#,##0")&amp;"–"&amp;TEXT(15*$B$8,"#,##0")&amp;" — they wake "&amp;TEXT((15-1)*$B$9,"0")&amp;" years after launch, among strangers from a century they never saw","")</f>
        <v>Sleepers 841–900 — they wake 140 years after launch, among strangers from a century they never saw</v>
      </c>
    </row>
    <row r="66" customFormat="false" ht="23.25" hidden="false" customHeight="true" outlineLevel="0" collapsed="false">
      <c r="A66" s="54" t="n">
        <f aca="false">IF(16&lt;=$B$25,16,"")</f>
        <v>16</v>
      </c>
      <c r="B66" s="64" t="str">
        <f aca="false">IF(16&lt;=$B$25,TEXT((16-1)*$B$9,"0")&amp;" → "&amp;TEXT(16*$B$9,"0"),"")</f>
        <v>150 → 160</v>
      </c>
      <c r="C66" s="54" t="n">
        <f aca="false">IF(16&lt;=$B$25,$B$15+(16-1)*$B$9,"")</f>
        <v>2275</v>
      </c>
      <c r="D66" s="10" t="str">
        <f aca="false">IF(16&lt;=$B$25,"Sleepers "&amp;TEXT((16-1)*$B$8+1,"#,##0")&amp;"–"&amp;TEXT(16*$B$8,"#,##0")&amp;" — they wake "&amp;TEXT((16-1)*$B$9,"0")&amp;" years after launch, among strangers from a century they never saw","")</f>
        <v>Sleepers 901–960 — they wake 150 years after launch, among strangers from a century they never saw</v>
      </c>
    </row>
    <row r="67" customFormat="false" ht="23.25" hidden="false" customHeight="true" outlineLevel="0" collapsed="false">
      <c r="A67" s="54" t="n">
        <f aca="false">IF(17&lt;=$B$25,17,"")</f>
        <v>17</v>
      </c>
      <c r="B67" s="64" t="str">
        <f aca="false">IF(17&lt;=$B$25,TEXT((17-1)*$B$9,"0")&amp;" → "&amp;TEXT(17*$B$9,"0"),"")</f>
        <v>160 → 170</v>
      </c>
      <c r="C67" s="54" t="n">
        <f aca="false">IF(17&lt;=$B$25,$B$15+(17-1)*$B$9,"")</f>
        <v>2285</v>
      </c>
      <c r="D67" s="10" t="str">
        <f aca="false">IF(17&lt;=$B$25,"Sleepers "&amp;TEXT((17-1)*$B$8+1,"#,##0")&amp;"–"&amp;TEXT(17*$B$8,"#,##0")&amp;" — they wake "&amp;TEXT((17-1)*$B$9,"0")&amp;" years after launch, among strangers from a century they never saw","")</f>
        <v>Sleepers 961–1,020 — they wake 160 years after launch, among strangers from a century they never saw</v>
      </c>
    </row>
    <row r="68" customFormat="false" ht="23.25" hidden="false" customHeight="true" outlineLevel="0" collapsed="false">
      <c r="A68" s="54" t="n">
        <f aca="false">IF(18&lt;=$B$25,18,"")</f>
        <v>18</v>
      </c>
      <c r="B68" s="64" t="str">
        <f aca="false">IF(18&lt;=$B$25,TEXT((18-1)*$B$9,"0")&amp;" → "&amp;TEXT(18*$B$9,"0"),"")</f>
        <v>170 → 180</v>
      </c>
      <c r="C68" s="54" t="n">
        <f aca="false">IF(18&lt;=$B$25,$B$15+(18-1)*$B$9,"")</f>
        <v>2295</v>
      </c>
      <c r="D68" s="10" t="str">
        <f aca="false">IF(18&lt;=$B$25,"Sleepers "&amp;TEXT((18-1)*$B$8+1,"#,##0")&amp;"–"&amp;TEXT(18*$B$8,"#,##0")&amp;" — they wake "&amp;TEXT((18-1)*$B$9,"0")&amp;" years after launch, among strangers from a century they never saw","")</f>
        <v>Sleepers 1,021–1,080 — they wake 170 years after launch, among strangers from a century they never saw</v>
      </c>
    </row>
    <row r="69" customFormat="false" ht="23.25" hidden="false" customHeight="true" outlineLevel="0" collapsed="false">
      <c r="A69" s="54" t="n">
        <f aca="false">IF(19&lt;=$B$25,19,"")</f>
        <v>19</v>
      </c>
      <c r="B69" s="64" t="str">
        <f aca="false">IF(19&lt;=$B$25,TEXT((19-1)*$B$9,"0")&amp;" → "&amp;TEXT(19*$B$9,"0"),"")</f>
        <v>180 → 190</v>
      </c>
      <c r="C69" s="54" t="n">
        <f aca="false">IF(19&lt;=$B$25,$B$15+(19-1)*$B$9,"")</f>
        <v>2305</v>
      </c>
      <c r="D69" s="10" t="str">
        <f aca="false">IF(19&lt;=$B$25,"Sleepers "&amp;TEXT((19-1)*$B$8+1,"#,##0")&amp;"–"&amp;TEXT(19*$B$8,"#,##0")&amp;" — they wake "&amp;TEXT((19-1)*$B$9,"0")&amp;" years after launch, among strangers from a century they never saw","")</f>
        <v>Sleepers 1,081–1,140 — they wake 180 years after launch, among strangers from a century they never saw</v>
      </c>
    </row>
    <row r="70" customFormat="false" ht="23.25" hidden="false" customHeight="true" outlineLevel="0" collapsed="false">
      <c r="A70" s="54" t="n">
        <f aca="false">IF(20&lt;=$B$25,20,"")</f>
        <v>20</v>
      </c>
      <c r="B70" s="64" t="str">
        <f aca="false">IF(20&lt;=$B$25,TEXT((20-1)*$B$9,"0")&amp;" → "&amp;TEXT(20*$B$9,"0"),"")</f>
        <v>190 → 200</v>
      </c>
      <c r="C70" s="54" t="n">
        <f aca="false">IF(20&lt;=$B$25,$B$15+(20-1)*$B$9,"")</f>
        <v>2315</v>
      </c>
      <c r="D70" s="10" t="str">
        <f aca="false">IF(20&lt;=$B$25,"Sleepers "&amp;TEXT((20-1)*$B$8+1,"#,##0")&amp;"–"&amp;TEXT(20*$B$8,"#,##0")&amp;" — they wake "&amp;TEXT((20-1)*$B$9,"0")&amp;" years after launch, among strangers from a century they never saw","")</f>
        <v>Sleepers 1,141–1,200 — they wake 190 years after launch, among strangers from a century they never saw</v>
      </c>
    </row>
    <row r="71" customFormat="false" ht="23.25" hidden="false" customHeight="true" outlineLevel="0" collapsed="false">
      <c r="A71" s="54" t="n">
        <f aca="false">IF(21&lt;=$B$25,21,"")</f>
        <v>21</v>
      </c>
      <c r="B71" s="64" t="str">
        <f aca="false">IF(21&lt;=$B$25,TEXT((21-1)*$B$9,"0")&amp;" → "&amp;TEXT(21*$B$9,"0"),"")</f>
        <v>200 → 210</v>
      </c>
      <c r="C71" s="54" t="n">
        <f aca="false">IF(21&lt;=$B$25,$B$15+(21-1)*$B$9,"")</f>
        <v>2325</v>
      </c>
      <c r="D71" s="10" t="str">
        <f aca="false">IF(21&lt;=$B$25,"Sleepers "&amp;TEXT((21-1)*$B$8+1,"#,##0")&amp;"–"&amp;TEXT(21*$B$8,"#,##0")&amp;" — they wake "&amp;TEXT((21-1)*$B$9,"0")&amp;" years after launch, among strangers from a century they never saw","")</f>
        <v>Sleepers 1,201–1,260 — they wake 200 years after launch, among strangers from a century they never saw</v>
      </c>
    </row>
    <row r="72" customFormat="false" ht="23.25" hidden="false" customHeight="true" outlineLevel="0" collapsed="false">
      <c r="A72" s="54" t="n">
        <f aca="false">IF(22&lt;=$B$25,22,"")</f>
        <v>22</v>
      </c>
      <c r="B72" s="64" t="str">
        <f aca="false">IF(22&lt;=$B$25,TEXT((22-1)*$B$9,"0")&amp;" → "&amp;TEXT(22*$B$9,"0"),"")</f>
        <v>210 → 220</v>
      </c>
      <c r="C72" s="54" t="n">
        <f aca="false">IF(22&lt;=$B$25,$B$15+(22-1)*$B$9,"")</f>
        <v>2335</v>
      </c>
      <c r="D72" s="10" t="str">
        <f aca="false">IF(22&lt;=$B$25,"Sleepers "&amp;TEXT((22-1)*$B$8+1,"#,##0")&amp;"–"&amp;TEXT(22*$B$8,"#,##0")&amp;" — they wake "&amp;TEXT((22-1)*$B$9,"0")&amp;" years after launch, among strangers from a century they never saw","")</f>
        <v>Sleepers 1,261–1,320 — they wake 210 years after launch, among strangers from a century they never saw</v>
      </c>
    </row>
    <row r="73" customFormat="false" ht="23.25" hidden="false" customHeight="true" outlineLevel="0" collapsed="false">
      <c r="A73" s="54" t="n">
        <f aca="false">IF(23&lt;=$B$25,23,"")</f>
        <v>23</v>
      </c>
      <c r="B73" s="64" t="str">
        <f aca="false">IF(23&lt;=$B$25,TEXT((23-1)*$B$9,"0")&amp;" → "&amp;TEXT(23*$B$9,"0"),"")</f>
        <v>220 → 230</v>
      </c>
      <c r="C73" s="54" t="n">
        <f aca="false">IF(23&lt;=$B$25,$B$15+(23-1)*$B$9,"")</f>
        <v>2345</v>
      </c>
      <c r="D73" s="10" t="str">
        <f aca="false">IF(23&lt;=$B$25,"Sleepers "&amp;TEXT((23-1)*$B$8+1,"#,##0")&amp;"–"&amp;TEXT(23*$B$8,"#,##0")&amp;" — they wake "&amp;TEXT((23-1)*$B$9,"0")&amp;" years after launch, among strangers from a century they never saw","")</f>
        <v>Sleepers 1,321–1,380 — they wake 220 years after launch, among strangers from a century they never saw</v>
      </c>
    </row>
    <row r="74" customFormat="false" ht="23.25" hidden="false" customHeight="true" outlineLevel="0" collapsed="false">
      <c r="A74" s="54" t="n">
        <f aca="false">IF(24&lt;=$B$25,24,"")</f>
        <v>24</v>
      </c>
      <c r="B74" s="64" t="str">
        <f aca="false">IF(24&lt;=$B$25,TEXT((24-1)*$B$9,"0")&amp;" → "&amp;TEXT(24*$B$9,"0"),"")</f>
        <v>230 → 240</v>
      </c>
      <c r="C74" s="54" t="n">
        <f aca="false">IF(24&lt;=$B$25,$B$15+(24-1)*$B$9,"")</f>
        <v>2355</v>
      </c>
      <c r="D74" s="10" t="str">
        <f aca="false">IF(24&lt;=$B$25,"Sleepers "&amp;TEXT((24-1)*$B$8+1,"#,##0")&amp;"–"&amp;TEXT(24*$B$8,"#,##0")&amp;" — they wake "&amp;TEXT((24-1)*$B$9,"0")&amp;" years after launch, among strangers from a century they never saw","")</f>
        <v>Sleepers 1,381–1,440 — they wake 230 years after launch, among strangers from a century they never saw</v>
      </c>
    </row>
    <row r="75" customFormat="false" ht="23.25" hidden="false" customHeight="true" outlineLevel="0" collapsed="false">
      <c r="A75" s="54" t="n">
        <f aca="false">IF(25&lt;=$B$25,25,"")</f>
        <v>25</v>
      </c>
      <c r="B75" s="64" t="str">
        <f aca="false">IF(25&lt;=$B$25,TEXT((25-1)*$B$9,"0")&amp;" → "&amp;TEXT(25*$B$9,"0"),"")</f>
        <v>240 → 250</v>
      </c>
      <c r="C75" s="54" t="n">
        <f aca="false">IF(25&lt;=$B$25,$B$15+(25-1)*$B$9,"")</f>
        <v>2365</v>
      </c>
      <c r="D75" s="10" t="str">
        <f aca="false">IF(25&lt;=$B$25,"Sleepers "&amp;TEXT((25-1)*$B$8+1,"#,##0")&amp;"–"&amp;TEXT(25*$B$8,"#,##0")&amp;" — they wake "&amp;TEXT((25-1)*$B$9,"0")&amp;" years after launch, among strangers from a century they never saw","")</f>
        <v>Sleepers 1,441–1,500 — they wake 240 years after launch, among strangers from a century they never saw</v>
      </c>
    </row>
    <row r="76" customFormat="false" ht="23.25" hidden="false" customHeight="true" outlineLevel="0" collapsed="false">
      <c r="A76" s="54" t="n">
        <f aca="false">IF(26&lt;=$B$25,26,"")</f>
        <v>26</v>
      </c>
      <c r="B76" s="64" t="str">
        <f aca="false">IF(26&lt;=$B$25,TEXT((26-1)*$B$9,"0")&amp;" → "&amp;TEXT(26*$B$9,"0"),"")</f>
        <v>250 → 260</v>
      </c>
      <c r="C76" s="54" t="n">
        <f aca="false">IF(26&lt;=$B$25,$B$15+(26-1)*$B$9,"")</f>
        <v>2375</v>
      </c>
      <c r="D76" s="10" t="str">
        <f aca="false">IF(26&lt;=$B$25,"Sleepers "&amp;TEXT((26-1)*$B$8+1,"#,##0")&amp;"–"&amp;TEXT(26*$B$8,"#,##0")&amp;" — they wake "&amp;TEXT((26-1)*$B$9,"0")&amp;" years after launch, among strangers from a century they never saw","")</f>
        <v>Sleepers 1,501–1,560 — they wake 250 years after launch, among strangers from a century they never saw</v>
      </c>
    </row>
    <row r="77" customFormat="false" ht="23.25" hidden="false" customHeight="true" outlineLevel="0" collapsed="false">
      <c r="A77" s="54" t="n">
        <f aca="false">IF(27&lt;=$B$25,27,"")</f>
        <v>27</v>
      </c>
      <c r="B77" s="64" t="str">
        <f aca="false">IF(27&lt;=$B$25,TEXT((27-1)*$B$9,"0")&amp;" → "&amp;TEXT(27*$B$9,"0"),"")</f>
        <v>260 → 270</v>
      </c>
      <c r="C77" s="54" t="n">
        <f aca="false">IF(27&lt;=$B$25,$B$15+(27-1)*$B$9,"")</f>
        <v>2385</v>
      </c>
      <c r="D77" s="10" t="str">
        <f aca="false">IF(27&lt;=$B$25,"Sleepers "&amp;TEXT((27-1)*$B$8+1,"#,##0")&amp;"–"&amp;TEXT(27*$B$8,"#,##0")&amp;" — they wake "&amp;TEXT((27-1)*$B$9,"0")&amp;" years after launch, among strangers from a century they never saw","")</f>
        <v>Sleepers 1,561–1,620 — they wake 260 years after launch, among strangers from a century they never saw</v>
      </c>
    </row>
    <row r="78" customFormat="false" ht="23.25" hidden="false" customHeight="true" outlineLevel="0" collapsed="false">
      <c r="A78" s="54" t="n">
        <f aca="false">IF(28&lt;=$B$25,28,"")</f>
        <v>28</v>
      </c>
      <c r="B78" s="64" t="str">
        <f aca="false">IF(28&lt;=$B$25,TEXT((28-1)*$B$9,"0")&amp;" → "&amp;TEXT(28*$B$9,"0"),"")</f>
        <v>270 → 280</v>
      </c>
      <c r="C78" s="54" t="n">
        <f aca="false">IF(28&lt;=$B$25,$B$15+(28-1)*$B$9,"")</f>
        <v>2395</v>
      </c>
      <c r="D78" s="10" t="str">
        <f aca="false">IF(28&lt;=$B$25,"Sleepers "&amp;TEXT((28-1)*$B$8+1,"#,##0")&amp;"–"&amp;TEXT(28*$B$8,"#,##0")&amp;" — they wake "&amp;TEXT((28-1)*$B$9,"0")&amp;" years after launch, among strangers from a century they never saw","")</f>
        <v>Sleepers 1,621–1,680 — they wake 270 years after launch, among strangers from a century they never saw</v>
      </c>
    </row>
    <row r="79" customFormat="false" ht="23.25" hidden="false" customHeight="true" outlineLevel="0" collapsed="false">
      <c r="A79" s="54" t="n">
        <f aca="false">IF(29&lt;=$B$25,29,"")</f>
        <v>29</v>
      </c>
      <c r="B79" s="64" t="str">
        <f aca="false">IF(29&lt;=$B$25,TEXT((29-1)*$B$9,"0")&amp;" → "&amp;TEXT(29*$B$9,"0"),"")</f>
        <v>280 → 290</v>
      </c>
      <c r="C79" s="54" t="n">
        <f aca="false">IF(29&lt;=$B$25,$B$15+(29-1)*$B$9,"")</f>
        <v>2405</v>
      </c>
      <c r="D79" s="10" t="str">
        <f aca="false">IF(29&lt;=$B$25,"Sleepers "&amp;TEXT((29-1)*$B$8+1,"#,##0")&amp;"–"&amp;TEXT(29*$B$8,"#,##0")&amp;" — they wake "&amp;TEXT((29-1)*$B$9,"0")&amp;" years after launch, among strangers from a century they never saw","")</f>
        <v>Sleepers 1,681–1,740 — they wake 280 years after launch, among strangers from a century they never saw</v>
      </c>
    </row>
    <row r="80" customFormat="false" ht="23.25" hidden="false" customHeight="true" outlineLevel="0" collapsed="false">
      <c r="A80" s="54" t="n">
        <f aca="false">IF(30&lt;=$B$25,30,"")</f>
        <v>30</v>
      </c>
      <c r="B80" s="64" t="str">
        <f aca="false">IF(30&lt;=$B$25,TEXT((30-1)*$B$9,"0")&amp;" → "&amp;TEXT(30*$B$9,"0"),"")</f>
        <v>290 → 300</v>
      </c>
      <c r="C80" s="54" t="n">
        <f aca="false">IF(30&lt;=$B$25,$B$15+(30-1)*$B$9,"")</f>
        <v>2415</v>
      </c>
      <c r="D80" s="10" t="str">
        <f aca="false">IF(30&lt;=$B$25,"Sleepers "&amp;TEXT((30-1)*$B$8+1,"#,##0")&amp;"–"&amp;TEXT(30*$B$8,"#,##0")&amp;" — they wake "&amp;TEXT((30-1)*$B$9,"0")&amp;" years after launch, among strangers from a century they never saw","")</f>
        <v>Sleepers 1,741–1,800 — they wake 290 years after launch, among strangers from a century they never saw</v>
      </c>
    </row>
    <row r="81" customFormat="false" ht="23.25" hidden="false" customHeight="true" outlineLevel="0" collapsed="false">
      <c r="A81" s="54" t="n">
        <f aca="false">IF(31&lt;=$B$25,31,"")</f>
        <v>31</v>
      </c>
      <c r="B81" s="64" t="str">
        <f aca="false">IF(31&lt;=$B$25,TEXT((31-1)*$B$9,"0")&amp;" → "&amp;TEXT(31*$B$9,"0"),"")</f>
        <v>300 → 310</v>
      </c>
      <c r="C81" s="54" t="n">
        <f aca="false">IF(31&lt;=$B$25,$B$15+(31-1)*$B$9,"")</f>
        <v>2425</v>
      </c>
      <c r="D81" s="10" t="str">
        <f aca="false">IF(31&lt;=$B$25,"Sleepers "&amp;TEXT((31-1)*$B$8+1,"#,##0")&amp;"–"&amp;TEXT(31*$B$8,"#,##0")&amp;" — they wake "&amp;TEXT((31-1)*$B$9,"0")&amp;" years after launch, among strangers from a century they never saw","")</f>
        <v>Sleepers 1,801–1,860 — they wake 300 years after launch, among strangers from a century they never saw</v>
      </c>
    </row>
    <row r="82" customFormat="false" ht="23.25" hidden="false" customHeight="true" outlineLevel="0" collapsed="false">
      <c r="A82" s="54" t="n">
        <f aca="false">IF(32&lt;=$B$25,32,"")</f>
        <v>32</v>
      </c>
      <c r="B82" s="64" t="str">
        <f aca="false">IF(32&lt;=$B$25,TEXT((32-1)*$B$9,"0")&amp;" → "&amp;TEXT(32*$B$9,"0"),"")</f>
        <v>310 → 320</v>
      </c>
      <c r="C82" s="54" t="n">
        <f aca="false">IF(32&lt;=$B$25,$B$15+(32-1)*$B$9,"")</f>
        <v>2435</v>
      </c>
      <c r="D82" s="10" t="str">
        <f aca="false">IF(32&lt;=$B$25,"Sleepers "&amp;TEXT((32-1)*$B$8+1,"#,##0")&amp;"–"&amp;TEXT(32*$B$8,"#,##0")&amp;" — they wake "&amp;TEXT((32-1)*$B$9,"0")&amp;" years after launch, among strangers from a century they never saw","")</f>
        <v>Sleepers 1,861–1,920 — they wake 310 years after launch, among strangers from a century they never saw</v>
      </c>
    </row>
    <row r="83" customFormat="false" ht="23.25" hidden="false" customHeight="true" outlineLevel="0" collapsed="false">
      <c r="A83" s="54" t="n">
        <f aca="false">IF(33&lt;=$B$25,33,"")</f>
        <v>33</v>
      </c>
      <c r="B83" s="64" t="str">
        <f aca="false">IF(33&lt;=$B$25,TEXT((33-1)*$B$9,"0")&amp;" → "&amp;TEXT(33*$B$9,"0"),"")</f>
        <v>320 → 330</v>
      </c>
      <c r="C83" s="54" t="n">
        <f aca="false">IF(33&lt;=$B$25,$B$15+(33-1)*$B$9,"")</f>
        <v>2445</v>
      </c>
      <c r="D83" s="10" t="str">
        <f aca="false">IF(33&lt;=$B$25,"Sleepers "&amp;TEXT((33-1)*$B$8+1,"#,##0")&amp;"–"&amp;TEXT(33*$B$8,"#,##0")&amp;" — they wake "&amp;TEXT((33-1)*$B$9,"0")&amp;" years after launch, among strangers from a century they never saw","")</f>
        <v>Sleepers 1,921–1,980 — they wake 320 years after launch, among strangers from a century they never saw</v>
      </c>
    </row>
    <row r="84" customFormat="false" ht="23.25" hidden="false" customHeight="true" outlineLevel="0" collapsed="false">
      <c r="A84" s="54" t="n">
        <f aca="false">IF(34&lt;=$B$25,34,"")</f>
        <v>34</v>
      </c>
      <c r="B84" s="64" t="str">
        <f aca="false">IF(34&lt;=$B$25,TEXT((34-1)*$B$9,"0")&amp;" → "&amp;TEXT(34*$B$9,"0"),"")</f>
        <v>330 → 340</v>
      </c>
      <c r="C84" s="54" t="n">
        <f aca="false">IF(34&lt;=$B$25,$B$15+(34-1)*$B$9,"")</f>
        <v>2455</v>
      </c>
      <c r="D84" s="10" t="str">
        <f aca="false">IF(34&lt;=$B$25,"Sleepers "&amp;TEXT((34-1)*$B$8+1,"#,##0")&amp;"–"&amp;TEXT(34*$B$8,"#,##0")&amp;" — they wake "&amp;TEXT((34-1)*$B$9,"0")&amp;" years after launch, among strangers from a century they never saw","")</f>
        <v>Sleepers 1,981–2,040 — they wake 330 years after launch, among strangers from a century they never saw</v>
      </c>
    </row>
    <row r="85" customFormat="false" ht="23.25" hidden="false" customHeight="true" outlineLevel="0" collapsed="false">
      <c r="A85" s="54" t="n">
        <f aca="false">IF(35&lt;=$B$25,35,"")</f>
        <v>35</v>
      </c>
      <c r="B85" s="64" t="str">
        <f aca="false">IF(35&lt;=$B$25,TEXT((35-1)*$B$9,"0")&amp;" → "&amp;TEXT(35*$B$9,"0"),"")</f>
        <v>340 → 350</v>
      </c>
      <c r="C85" s="54" t="n">
        <f aca="false">IF(35&lt;=$B$25,$B$15+(35-1)*$B$9,"")</f>
        <v>2465</v>
      </c>
      <c r="D85" s="10" t="str">
        <f aca="false">IF(35&lt;=$B$25,"Sleepers "&amp;TEXT((35-1)*$B$8+1,"#,##0")&amp;"–"&amp;TEXT(35*$B$8,"#,##0")&amp;" — they wake "&amp;TEXT((35-1)*$B$9,"0")&amp;" years after launch, among strangers from a century they never saw","")</f>
        <v>Sleepers 2,041–2,100 — they wake 340 years after launch, among strangers from a century they never saw</v>
      </c>
    </row>
    <row r="86" customFormat="false" ht="23.25" hidden="false" customHeight="true" outlineLevel="0" collapsed="false">
      <c r="A86" s="54" t="n">
        <f aca="false">IF(36&lt;=$B$25,36,"")</f>
        <v>36</v>
      </c>
      <c r="B86" s="64" t="str">
        <f aca="false">IF(36&lt;=$B$25,TEXT((36-1)*$B$9,"0")&amp;" → "&amp;TEXT(36*$B$9,"0"),"")</f>
        <v>350 → 360</v>
      </c>
      <c r="C86" s="54" t="n">
        <f aca="false">IF(36&lt;=$B$25,$B$15+(36-1)*$B$9,"")</f>
        <v>2475</v>
      </c>
      <c r="D86" s="10" t="str">
        <f aca="false">IF(36&lt;=$B$25,"Sleepers "&amp;TEXT((36-1)*$B$8+1,"#,##0")&amp;"–"&amp;TEXT(36*$B$8,"#,##0")&amp;" — they wake "&amp;TEXT((36-1)*$B$9,"0")&amp;" years after launch, among strangers from a century they never saw","")</f>
        <v>Sleepers 2,101–2,160 — they wake 350 years after launch, among strangers from a century they never saw</v>
      </c>
    </row>
    <row r="87" customFormat="false" ht="23.25" hidden="false" customHeight="true" outlineLevel="0" collapsed="false">
      <c r="A87" s="54" t="n">
        <f aca="false">IF(37&lt;=$B$25,37,"")</f>
        <v>37</v>
      </c>
      <c r="B87" s="64" t="str">
        <f aca="false">IF(37&lt;=$B$25,TEXT((37-1)*$B$9,"0")&amp;" → "&amp;TEXT(37*$B$9,"0"),"")</f>
        <v>360 → 370</v>
      </c>
      <c r="C87" s="54" t="n">
        <f aca="false">IF(37&lt;=$B$25,$B$15+(37-1)*$B$9,"")</f>
        <v>2485</v>
      </c>
      <c r="D87" s="10" t="str">
        <f aca="false">IF(37&lt;=$B$25,"Sleepers "&amp;TEXT((37-1)*$B$8+1,"#,##0")&amp;"–"&amp;TEXT(37*$B$8,"#,##0")&amp;" — they wake "&amp;TEXT((37-1)*$B$9,"0")&amp;" years after launch, among strangers from a century they never saw","")</f>
        <v>Sleepers 2,161–2,220 — they wake 360 years after launch, among strangers from a century they never saw</v>
      </c>
    </row>
    <row r="88" customFormat="false" ht="23.25" hidden="false" customHeight="true" outlineLevel="0" collapsed="false">
      <c r="A88" s="54" t="n">
        <f aca="false">IF(38&lt;=$B$25,38,"")</f>
        <v>38</v>
      </c>
      <c r="B88" s="64" t="str">
        <f aca="false">IF(38&lt;=$B$25,TEXT((38-1)*$B$9,"0")&amp;" → "&amp;TEXT(38*$B$9,"0"),"")</f>
        <v>370 → 380</v>
      </c>
      <c r="C88" s="54" t="n">
        <f aca="false">IF(38&lt;=$B$25,$B$15+(38-1)*$B$9,"")</f>
        <v>2495</v>
      </c>
      <c r="D88" s="10" t="str">
        <f aca="false">IF(38&lt;=$B$25,"Sleepers "&amp;TEXT((38-1)*$B$8+1,"#,##0")&amp;"–"&amp;TEXT(38*$B$8,"#,##0")&amp;" — they wake "&amp;TEXT((38-1)*$B$9,"0")&amp;" years after launch, among strangers from a century they never saw","")</f>
        <v>Sleepers 2,221–2,280 — they wake 370 years after launch, among strangers from a century they never saw</v>
      </c>
    </row>
    <row r="89" customFormat="false" ht="23.25" hidden="false" customHeight="true" outlineLevel="0" collapsed="false">
      <c r="A89" s="54" t="n">
        <f aca="false">IF(39&lt;=$B$25,39,"")</f>
        <v>39</v>
      </c>
      <c r="B89" s="64" t="str">
        <f aca="false">IF(39&lt;=$B$25,TEXT((39-1)*$B$9,"0")&amp;" → "&amp;TEXT(39*$B$9,"0"),"")</f>
        <v>380 → 390</v>
      </c>
      <c r="C89" s="54" t="n">
        <f aca="false">IF(39&lt;=$B$25,$B$15+(39-1)*$B$9,"")</f>
        <v>2505</v>
      </c>
      <c r="D89" s="10" t="str">
        <f aca="false">IF(39&lt;=$B$25,"Sleepers "&amp;TEXT((39-1)*$B$8+1,"#,##0")&amp;"–"&amp;TEXT(39*$B$8,"#,##0")&amp;" — they wake "&amp;TEXT((39-1)*$B$9,"0")&amp;" years after launch, among strangers from a century they never saw","")</f>
        <v>Sleepers 2,281–2,340 — they wake 380 years after launch, among strangers from a century they never saw</v>
      </c>
    </row>
    <row r="90" customFormat="false" ht="23.25" hidden="false" customHeight="true" outlineLevel="0" collapsed="false">
      <c r="A90" s="54" t="n">
        <f aca="false">IF(40&lt;=$B$25,40,"")</f>
        <v>40</v>
      </c>
      <c r="B90" s="64" t="str">
        <f aca="false">IF(40&lt;=$B$25,TEXT((40-1)*$B$9,"0")&amp;" → "&amp;TEXT(40*$B$9,"0"),"")</f>
        <v>390 → 400</v>
      </c>
      <c r="C90" s="54" t="n">
        <f aca="false">IF(40&lt;=$B$25,$B$15+(40-1)*$B$9,"")</f>
        <v>2515</v>
      </c>
      <c r="D90" s="10" t="str">
        <f aca="false">IF(40&lt;=$B$25,"Sleepers "&amp;TEXT((40-1)*$B$8+1,"#,##0")&amp;"–"&amp;TEXT(40*$B$8,"#,##0")&amp;" — they wake "&amp;TEXT((40-1)*$B$9,"0")&amp;" years after launch, among strangers from a century they never saw","")</f>
        <v>Sleepers 2,341–2,400 — they wake 390 years after launch, among strangers from a century they never saw</v>
      </c>
    </row>
    <row r="91" customFormat="false" ht="30" hidden="false" customHeight="true" outlineLevel="0" collapsed="false">
      <c r="A91" s="33" t="s">
        <v>564</v>
      </c>
      <c r="B91" s="33"/>
      <c r="C91" s="33"/>
      <c r="D91" s="33"/>
    </row>
  </sheetData>
  <mergeCells count="2">
    <mergeCell ref="A2:D2"/>
    <mergeCell ref="A91:D9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8"/>
    <col collapsed="false" customWidth="true" hidden="false" outlineLevel="0" max="3" min="3" style="1" width="14"/>
    <col collapsed="false" customWidth="true" hidden="false" outlineLevel="0" max="4" min="4" style="1" width="78"/>
  </cols>
  <sheetData>
    <row r="1" customFormat="false" ht="18" hidden="false" customHeight="true" outlineLevel="0" collapsed="false">
      <c r="A1" s="2" t="s">
        <v>565</v>
      </c>
      <c r="B1" s="3"/>
      <c r="C1" s="3"/>
      <c r="D1" s="3"/>
    </row>
    <row r="2" customFormat="false" ht="30" hidden="false" customHeight="true" outlineLevel="0" collapsed="false">
      <c r="A2" s="4" t="s">
        <v>566</v>
      </c>
      <c r="B2" s="4"/>
      <c r="C2" s="4"/>
      <c r="D2" s="4"/>
    </row>
    <row r="3" customFormat="false" ht="15" hidden="false" customHeight="true" outlineLevel="0" collapsed="false">
      <c r="A3" s="3"/>
      <c r="B3" s="3"/>
      <c r="C3" s="3"/>
      <c r="D3" s="3"/>
    </row>
    <row r="4" customFormat="false" ht="15" hidden="false" customHeight="true" outlineLevel="0" collapsed="false">
      <c r="A4" s="3"/>
      <c r="B4" s="3"/>
      <c r="C4" s="3"/>
      <c r="D4" s="3"/>
    </row>
    <row r="5" customFormat="false" ht="15" hidden="false" customHeight="true" outlineLevel="0" collapsed="false">
      <c r="A5" s="13" t="s">
        <v>567</v>
      </c>
      <c r="B5" s="13"/>
      <c r="C5" s="13"/>
      <c r="D5" s="13"/>
    </row>
    <row r="6" customFormat="false" ht="15" hidden="false" customHeight="true" outlineLevel="0" collapsed="false">
      <c r="A6" s="14" t="s">
        <v>130</v>
      </c>
      <c r="B6" s="14" t="s">
        <v>131</v>
      </c>
      <c r="C6" s="14" t="s">
        <v>132</v>
      </c>
      <c r="D6" s="14" t="s">
        <v>133</v>
      </c>
    </row>
    <row r="7" customFormat="false" ht="15" hidden="false" customHeight="true" outlineLevel="0" collapsed="false">
      <c r="A7" s="7" t="s">
        <v>568</v>
      </c>
      <c r="B7" s="15" t="n">
        <v>299792458</v>
      </c>
      <c r="C7" s="7" t="s">
        <v>180</v>
      </c>
      <c r="D7" s="6" t="s">
        <v>569</v>
      </c>
    </row>
    <row r="8" customFormat="false" ht="15" hidden="false" customHeight="true" outlineLevel="0" collapsed="false">
      <c r="A8" s="7" t="s">
        <v>570</v>
      </c>
      <c r="B8" s="65" t="n">
        <v>9.80665</v>
      </c>
      <c r="C8" s="7" t="s">
        <v>335</v>
      </c>
      <c r="D8" s="6" t="s">
        <v>571</v>
      </c>
    </row>
    <row r="9" customFormat="false" ht="15" hidden="false" customHeight="true" outlineLevel="0" collapsed="false">
      <c r="A9" s="7" t="s">
        <v>572</v>
      </c>
      <c r="B9" s="16" t="n">
        <v>6.6743E-011</v>
      </c>
      <c r="C9" s="7" t="s">
        <v>573</v>
      </c>
      <c r="D9" s="6" t="s">
        <v>574</v>
      </c>
    </row>
    <row r="10" customFormat="false" ht="15" hidden="false" customHeight="true" outlineLevel="0" collapsed="false">
      <c r="A10" s="7" t="s">
        <v>575</v>
      </c>
      <c r="B10" s="23" t="n">
        <f aca="false">365.25*86400</f>
        <v>31557600</v>
      </c>
      <c r="C10" s="7" t="s">
        <v>189</v>
      </c>
      <c r="D10" s="6" t="s">
        <v>576</v>
      </c>
    </row>
    <row r="11" customFormat="false" ht="15" hidden="false" customHeight="true" outlineLevel="0" collapsed="false">
      <c r="A11" s="7" t="s">
        <v>577</v>
      </c>
      <c r="B11" s="15" t="n">
        <v>86400</v>
      </c>
      <c r="C11" s="7" t="s">
        <v>189</v>
      </c>
      <c r="D11" s="6"/>
    </row>
    <row r="12" customFormat="false" ht="15" hidden="false" customHeight="true" outlineLevel="0" collapsed="false">
      <c r="A12" s="7" t="s">
        <v>578</v>
      </c>
      <c r="B12" s="24" t="n">
        <f aca="false">$B$7*$B$10</f>
        <v>9460730472580800</v>
      </c>
      <c r="C12" s="7" t="s">
        <v>174</v>
      </c>
      <c r="D12" s="6" t="s">
        <v>579</v>
      </c>
    </row>
    <row r="13" customFormat="false" ht="15" hidden="false" customHeight="true" outlineLevel="0" collapsed="false">
      <c r="A13" s="7" t="s">
        <v>580</v>
      </c>
      <c r="B13" s="16" t="n">
        <v>149597870700</v>
      </c>
      <c r="C13" s="7" t="s">
        <v>174</v>
      </c>
      <c r="D13" s="6" t="s">
        <v>581</v>
      </c>
    </row>
    <row r="14" customFormat="false" ht="15" hidden="false" customHeight="true" outlineLevel="0" collapsed="false">
      <c r="A14" s="7" t="s">
        <v>582</v>
      </c>
      <c r="B14" s="16" t="n">
        <v>1.32712440018E+020</v>
      </c>
      <c r="C14" s="7" t="s">
        <v>583</v>
      </c>
      <c r="D14" s="6" t="s">
        <v>584</v>
      </c>
    </row>
    <row r="15" customFormat="false" ht="15" hidden="false" customHeight="true" outlineLevel="0" collapsed="false">
      <c r="A15" s="7" t="s">
        <v>585</v>
      </c>
      <c r="B15" s="16" t="n">
        <v>398600441800000</v>
      </c>
      <c r="C15" s="7" t="s">
        <v>583</v>
      </c>
      <c r="D15" s="6" t="s">
        <v>586</v>
      </c>
    </row>
    <row r="16" customFormat="false" ht="15" hidden="false" customHeight="true" outlineLevel="0" collapsed="false">
      <c r="A16" s="7" t="s">
        <v>587</v>
      </c>
      <c r="B16" s="16" t="n">
        <v>6378100</v>
      </c>
      <c r="C16" s="7" t="s">
        <v>174</v>
      </c>
      <c r="D16" s="6" t="s">
        <v>586</v>
      </c>
    </row>
    <row r="17" customFormat="false" ht="15" hidden="false" customHeight="true" outlineLevel="0" collapsed="false">
      <c r="A17" s="7" t="s">
        <v>588</v>
      </c>
      <c r="B17" s="16" t="n">
        <v>5.9722E+024</v>
      </c>
      <c r="C17" s="7" t="s">
        <v>176</v>
      </c>
      <c r="D17" s="6" t="s">
        <v>589</v>
      </c>
    </row>
    <row r="18" customFormat="false" ht="15" hidden="false" customHeight="true" outlineLevel="0" collapsed="false">
      <c r="A18" s="7" t="s">
        <v>590</v>
      </c>
      <c r="B18" s="16" t="n">
        <v>1.8982E+027</v>
      </c>
      <c r="C18" s="7" t="s">
        <v>176</v>
      </c>
      <c r="D18" s="6" t="s">
        <v>589</v>
      </c>
    </row>
    <row r="19" customFormat="false" ht="15" hidden="false" customHeight="true" outlineLevel="0" collapsed="false">
      <c r="A19" s="7" t="s">
        <v>591</v>
      </c>
      <c r="B19" s="16" t="n">
        <v>3.828E+026</v>
      </c>
      <c r="C19" s="7" t="s">
        <v>351</v>
      </c>
      <c r="D19" s="6" t="s">
        <v>586</v>
      </c>
    </row>
    <row r="20" customFormat="false" ht="15" hidden="false" customHeight="true" outlineLevel="0" collapsed="false">
      <c r="A20" s="7" t="s">
        <v>592</v>
      </c>
      <c r="B20" s="16" t="n">
        <v>1.67262192369E-027</v>
      </c>
      <c r="C20" s="7" t="s">
        <v>176</v>
      </c>
      <c r="D20" s="6" t="s">
        <v>574</v>
      </c>
    </row>
    <row r="21" customFormat="false" ht="15" hidden="false" customHeight="true" outlineLevel="0" collapsed="false">
      <c r="A21" s="7" t="s">
        <v>593</v>
      </c>
      <c r="B21" s="16" t="n">
        <v>1.602176634E-019</v>
      </c>
      <c r="C21" s="7" t="s">
        <v>259</v>
      </c>
      <c r="D21" s="6" t="s">
        <v>569</v>
      </c>
    </row>
    <row r="22" customFormat="false" ht="15" hidden="false" customHeight="true" outlineLevel="0" collapsed="false">
      <c r="A22" s="7" t="s">
        <v>594</v>
      </c>
      <c r="B22" s="24" t="n">
        <f aca="false">$B$20*$B$7^2</f>
        <v>1.50327761598513E-010</v>
      </c>
      <c r="C22" s="7" t="s">
        <v>259</v>
      </c>
      <c r="D22" s="6"/>
    </row>
    <row r="23" customFormat="false" ht="15" hidden="false" customHeight="true" outlineLevel="0" collapsed="false">
      <c r="A23" s="7" t="s">
        <v>595</v>
      </c>
      <c r="B23" s="29" t="n">
        <f aca="false">$B$22/$B$21/1000000</f>
        <v>938.27208816049</v>
      </c>
      <c r="C23" s="7" t="s">
        <v>596</v>
      </c>
      <c r="D23" s="6" t="s">
        <v>597</v>
      </c>
    </row>
    <row r="24" customFormat="false" ht="15" hidden="false" customHeight="true" outlineLevel="0" collapsed="false">
      <c r="A24" s="7" t="s">
        <v>598</v>
      </c>
      <c r="B24" s="16" t="n">
        <v>5.670374419E-008</v>
      </c>
      <c r="C24" s="7" t="s">
        <v>599</v>
      </c>
      <c r="D24" s="6" t="s">
        <v>574</v>
      </c>
    </row>
    <row r="25" customFormat="false" ht="15" hidden="false" customHeight="true" outlineLevel="0" collapsed="false">
      <c r="A25" s="7" t="s">
        <v>600</v>
      </c>
      <c r="B25" s="16" t="n">
        <v>4184000</v>
      </c>
      <c r="C25" s="7" t="s">
        <v>313</v>
      </c>
      <c r="D25" s="6" t="s">
        <v>601</v>
      </c>
    </row>
    <row r="26" customFormat="false" ht="15" hidden="false" customHeight="true" outlineLevel="0" collapsed="false">
      <c r="A26" s="3"/>
      <c r="B26" s="3"/>
      <c r="C26" s="3"/>
      <c r="D26" s="3"/>
    </row>
    <row r="27" customFormat="false" ht="15" hidden="false" customHeight="true" outlineLevel="0" collapsed="false">
      <c r="A27" s="13" t="s">
        <v>602</v>
      </c>
      <c r="B27" s="13"/>
      <c r="C27" s="13"/>
      <c r="D27" s="13"/>
    </row>
    <row r="28" customFormat="false" ht="15" hidden="false" customHeight="true" outlineLevel="0" collapsed="false">
      <c r="A28" s="14" t="s">
        <v>130</v>
      </c>
      <c r="B28" s="14" t="s">
        <v>131</v>
      </c>
      <c r="C28" s="14" t="s">
        <v>132</v>
      </c>
      <c r="D28" s="14" t="s">
        <v>133</v>
      </c>
    </row>
    <row r="29" customFormat="false" ht="23.25" hidden="false" customHeight="true" outlineLevel="0" collapsed="false">
      <c r="A29" s="7" t="s">
        <v>603</v>
      </c>
      <c r="B29" s="21" t="n">
        <v>1</v>
      </c>
      <c r="C29" s="7" t="s">
        <v>604</v>
      </c>
      <c r="D29" s="6" t="s">
        <v>605</v>
      </c>
    </row>
    <row r="30" customFormat="false" ht="15" hidden="false" customHeight="true" outlineLevel="0" collapsed="false">
      <c r="A30" s="7" t="s">
        <v>606</v>
      </c>
      <c r="B30" s="61" t="n">
        <v>0.01</v>
      </c>
      <c r="C30" s="7"/>
      <c r="D30" s="6" t="s">
        <v>607</v>
      </c>
    </row>
    <row r="31" customFormat="false" ht="15" hidden="false" customHeight="true" outlineLevel="0" collapsed="false">
      <c r="A31" s="7" t="s">
        <v>608</v>
      </c>
      <c r="B31" s="17" t="n">
        <v>0.7</v>
      </c>
      <c r="C31" s="7" t="s">
        <v>214</v>
      </c>
      <c r="D31" s="6" t="s">
        <v>609</v>
      </c>
    </row>
    <row r="32" customFormat="false" ht="15" hidden="false" customHeight="true" outlineLevel="0" collapsed="false">
      <c r="A32" s="3"/>
      <c r="B32" s="3"/>
      <c r="C32" s="3"/>
      <c r="D32" s="3"/>
    </row>
    <row r="33" customFormat="false" ht="15" hidden="false" customHeight="true" outlineLevel="0" collapsed="false">
      <c r="A33" s="13" t="s">
        <v>610</v>
      </c>
      <c r="B33" s="13"/>
      <c r="C33" s="13"/>
      <c r="D33" s="13"/>
    </row>
    <row r="34" customFormat="false" ht="15" hidden="false" customHeight="true" outlineLevel="0" collapsed="false">
      <c r="A34" s="14" t="s">
        <v>130</v>
      </c>
      <c r="B34" s="14" t="s">
        <v>131</v>
      </c>
      <c r="C34" s="14" t="s">
        <v>132</v>
      </c>
      <c r="D34" s="14" t="s">
        <v>133</v>
      </c>
    </row>
    <row r="35" customFormat="false" ht="15" hidden="false" customHeight="true" outlineLevel="0" collapsed="false">
      <c r="A35" s="7" t="s">
        <v>611</v>
      </c>
      <c r="B35" s="15" t="n">
        <v>1063</v>
      </c>
      <c r="C35" s="7" t="s">
        <v>612</v>
      </c>
      <c r="D35" s="6" t="s">
        <v>613</v>
      </c>
    </row>
    <row r="36" customFormat="false" ht="15" hidden="false" customHeight="true" outlineLevel="0" collapsed="false">
      <c r="A36" s="7" t="s">
        <v>614</v>
      </c>
      <c r="B36" s="15" t="n">
        <v>6</v>
      </c>
      <c r="C36" s="7" t="s">
        <v>174</v>
      </c>
      <c r="D36" s="6" t="s">
        <v>615</v>
      </c>
    </row>
    <row r="37" customFormat="false" ht="15" hidden="false" customHeight="true" outlineLevel="0" collapsed="false">
      <c r="A37" s="7" t="s">
        <v>616</v>
      </c>
      <c r="B37" s="66" t="n">
        <v>22.5</v>
      </c>
      <c r="C37" s="7" t="s">
        <v>174</v>
      </c>
      <c r="D37" s="6" t="s">
        <v>617</v>
      </c>
    </row>
    <row r="38" customFormat="false" ht="15" hidden="false" customHeight="true" outlineLevel="0" collapsed="false">
      <c r="A38" s="7" t="s">
        <v>618</v>
      </c>
      <c r="B38" s="24" t="n">
        <f aca="false">$B$8*($B$35-$B$36)/$B$7^2</f>
        <v>1.15333177435135E-013</v>
      </c>
      <c r="C38" s="7" t="s">
        <v>193</v>
      </c>
      <c r="D38" s="6" t="s">
        <v>619</v>
      </c>
    </row>
    <row r="39" customFormat="false" ht="15" hidden="false" customHeight="true" outlineLevel="0" collapsed="false">
      <c r="A39" s="7" t="s">
        <v>620</v>
      </c>
      <c r="B39" s="29" t="n">
        <f aca="false">$B$38*$B$11*1000000000</f>
        <v>9.96478653039568</v>
      </c>
      <c r="C39" s="7" t="s">
        <v>196</v>
      </c>
      <c r="D39" s="6" t="s">
        <v>621</v>
      </c>
    </row>
    <row r="40" customFormat="false" ht="15" hidden="false" customHeight="true" outlineLevel="0" collapsed="false">
      <c r="A40" s="7" t="s">
        <v>622</v>
      </c>
      <c r="B40" s="24" t="n">
        <f aca="false">$B$8*$B$37/$B$7^2</f>
        <v>2.4550581762446E-015</v>
      </c>
      <c r="C40" s="7" t="s">
        <v>193</v>
      </c>
      <c r="D40" s="6"/>
    </row>
    <row r="41" customFormat="false" ht="15" hidden="false" customHeight="true" outlineLevel="0" collapsed="false">
      <c r="A41" s="7" t="s">
        <v>623</v>
      </c>
      <c r="B41" s="25" t="n">
        <f aca="false">$B$40*$B$11*1000000000</f>
        <v>0.212117026427533</v>
      </c>
      <c r="C41" s="7" t="s">
        <v>196</v>
      </c>
      <c r="D41" s="6" t="s">
        <v>624</v>
      </c>
    </row>
    <row r="42" customFormat="false" ht="15" hidden="false" customHeight="true" outlineLevel="0" collapsed="false">
      <c r="A42" s="3"/>
      <c r="B42" s="3"/>
      <c r="C42" s="3"/>
      <c r="D42" s="3"/>
    </row>
    <row r="43" customFormat="false" ht="15" hidden="false" customHeight="true" outlineLevel="0" collapsed="false">
      <c r="A43" s="13" t="s">
        <v>625</v>
      </c>
      <c r="B43" s="13"/>
      <c r="C43" s="13"/>
      <c r="D43" s="13"/>
    </row>
    <row r="44" customFormat="false" ht="15" hidden="false" customHeight="true" outlineLevel="0" collapsed="false">
      <c r="A44" s="14" t="s">
        <v>207</v>
      </c>
      <c r="B44" s="14" t="s">
        <v>626</v>
      </c>
      <c r="C44" s="14" t="s">
        <v>209</v>
      </c>
      <c r="D44" s="14" t="s">
        <v>627</v>
      </c>
    </row>
    <row r="45" customFormat="false" ht="15" hidden="false" customHeight="true" outlineLevel="0" collapsed="false">
      <c r="A45" s="7" t="s">
        <v>628</v>
      </c>
      <c r="B45" s="15" t="n">
        <v>7850</v>
      </c>
      <c r="C45" s="15" t="n">
        <v>250</v>
      </c>
      <c r="D45" s="6" t="s">
        <v>629</v>
      </c>
    </row>
    <row r="46" customFormat="false" ht="15" hidden="false" customHeight="true" outlineLevel="0" collapsed="false">
      <c r="A46" s="7" t="s">
        <v>630</v>
      </c>
      <c r="B46" s="15" t="n">
        <v>2700</v>
      </c>
      <c r="C46" s="15" t="n">
        <v>276</v>
      </c>
      <c r="D46" s="6" t="s">
        <v>629</v>
      </c>
    </row>
    <row r="47" customFormat="false" ht="15" hidden="false" customHeight="true" outlineLevel="0" collapsed="false">
      <c r="A47" s="7" t="s">
        <v>631</v>
      </c>
      <c r="B47" s="15" t="n">
        <v>1600</v>
      </c>
      <c r="C47" s="15" t="n">
        <v>1500</v>
      </c>
      <c r="D47" s="6" t="s">
        <v>632</v>
      </c>
    </row>
    <row r="48" customFormat="false" ht="15" hidden="false" customHeight="true" outlineLevel="0" collapsed="false">
      <c r="A48" s="7" t="s">
        <v>633</v>
      </c>
      <c r="B48" s="15" t="n">
        <v>2267</v>
      </c>
      <c r="C48" s="15" t="n">
        <v>130000</v>
      </c>
      <c r="D48" s="6" t="s">
        <v>634</v>
      </c>
    </row>
    <row r="50" customFormat="false" ht="15" hidden="false" customHeight="true" outlineLevel="0" collapsed="false">
      <c r="A50" s="13" t="s">
        <v>635</v>
      </c>
      <c r="B50" s="13"/>
      <c r="C50" s="13"/>
      <c r="D50" s="13"/>
    </row>
    <row r="51" customFormat="false" ht="15" hidden="false" customHeight="true" outlineLevel="0" collapsed="false">
      <c r="A51" s="14" t="s">
        <v>130</v>
      </c>
      <c r="B51" s="14" t="s">
        <v>131</v>
      </c>
      <c r="C51" s="14" t="s">
        <v>132</v>
      </c>
      <c r="D51" s="14" t="s">
        <v>133</v>
      </c>
    </row>
    <row r="52" customFormat="false" ht="15" hidden="false" customHeight="true" outlineLevel="0" collapsed="false">
      <c r="A52" s="6" t="s">
        <v>636</v>
      </c>
      <c r="B52" s="67" t="n">
        <v>6.62607015E-034</v>
      </c>
      <c r="C52" s="7" t="s">
        <v>637</v>
      </c>
      <c r="D52" s="6" t="s">
        <v>569</v>
      </c>
    </row>
    <row r="53" customFormat="false" ht="15" hidden="false" customHeight="true" outlineLevel="0" collapsed="false">
      <c r="A53" s="6" t="s">
        <v>638</v>
      </c>
      <c r="B53" s="15" t="n">
        <v>695700000</v>
      </c>
      <c r="C53" s="7" t="s">
        <v>174</v>
      </c>
      <c r="D53" s="6" t="s">
        <v>586</v>
      </c>
    </row>
    <row r="54" customFormat="false" ht="15" hidden="false" customHeight="true" outlineLevel="0" collapsed="false">
      <c r="A54" s="6" t="s">
        <v>639</v>
      </c>
      <c r="B54" s="20" t="n">
        <v>279</v>
      </c>
      <c r="C54" s="7" t="s">
        <v>382</v>
      </c>
      <c r="D54" s="6" t="s">
        <v>640</v>
      </c>
    </row>
  </sheetData>
  <mergeCells count="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8"/>
    <col collapsed="false" customWidth="true" hidden="false" outlineLevel="0" max="2" min="2" style="1" width="18"/>
    <col collapsed="false" customWidth="true" hidden="false" outlineLevel="0" max="3" min="3" style="1" width="14"/>
    <col collapsed="false" customWidth="true" hidden="false" outlineLevel="0" max="4" min="4" style="1" width="78"/>
  </cols>
  <sheetData>
    <row r="1" customFormat="false" ht="18" hidden="false" customHeight="true" outlineLevel="0" collapsed="false">
      <c r="A1" s="2" t="s">
        <v>641</v>
      </c>
    </row>
    <row r="2" customFormat="false" ht="45.75" hidden="false" customHeight="true" outlineLevel="0" collapsed="false">
      <c r="A2" s="11" t="s">
        <v>642</v>
      </c>
    </row>
    <row r="4" customFormat="false" ht="15" hidden="false" customHeight="true" outlineLevel="0" collapsed="false">
      <c r="A4" s="13" t="s">
        <v>424</v>
      </c>
      <c r="B4" s="13"/>
      <c r="C4" s="13"/>
      <c r="D4" s="13"/>
    </row>
    <row r="5" customFormat="false" ht="15" hidden="false" customHeight="true" outlineLevel="0" collapsed="false">
      <c r="A5" s="14" t="s">
        <v>130</v>
      </c>
      <c r="B5" s="14" t="s">
        <v>131</v>
      </c>
      <c r="C5" s="14" t="s">
        <v>132</v>
      </c>
      <c r="D5" s="14" t="s">
        <v>133</v>
      </c>
    </row>
    <row r="6" customFormat="false" ht="15" hidden="false" customHeight="true" outlineLevel="0" collapsed="false">
      <c r="A6" s="6" t="s">
        <v>325</v>
      </c>
      <c r="B6" s="68" t="n">
        <v>1</v>
      </c>
      <c r="C6" s="7" t="s">
        <v>153</v>
      </c>
      <c r="D6" s="6" t="s">
        <v>643</v>
      </c>
    </row>
    <row r="7" customFormat="false" ht="15" hidden="false" customHeight="true" outlineLevel="0" collapsed="false">
      <c r="A7" s="6" t="s">
        <v>644</v>
      </c>
      <c r="B7" s="20" t="n">
        <v>10</v>
      </c>
      <c r="C7" s="7" t="s">
        <v>150</v>
      </c>
      <c r="D7" s="6" t="s">
        <v>645</v>
      </c>
    </row>
    <row r="8" customFormat="false" ht="15" hidden="false" customHeight="true" outlineLevel="0" collapsed="false">
      <c r="A8" s="6" t="s">
        <v>646</v>
      </c>
      <c r="B8" s="68" t="n">
        <v>5</v>
      </c>
      <c r="C8" s="7" t="s">
        <v>647</v>
      </c>
      <c r="D8" s="6" t="s">
        <v>162</v>
      </c>
    </row>
    <row r="9" customFormat="false" ht="15" hidden="false" customHeight="true" outlineLevel="0" collapsed="false">
      <c r="A9" s="6" t="s">
        <v>648</v>
      </c>
      <c r="B9" s="18" t="n">
        <v>1</v>
      </c>
      <c r="C9" s="7" t="s">
        <v>159</v>
      </c>
      <c r="D9" s="6" t="s">
        <v>649</v>
      </c>
    </row>
    <row r="10" customFormat="false" ht="15" hidden="false" customHeight="true" outlineLevel="0" collapsed="false">
      <c r="A10" s="6" t="s">
        <v>650</v>
      </c>
      <c r="B10" s="31" t="n">
        <f aca="false">Chrysalis!$B$9/Chrysalis!$B$10</f>
        <v>1000000</v>
      </c>
      <c r="C10" s="7" t="s">
        <v>651</v>
      </c>
      <c r="D10" s="6" t="s">
        <v>652</v>
      </c>
    </row>
    <row r="12" customFormat="false" ht="15" hidden="false" customHeight="true" outlineLevel="0" collapsed="false">
      <c r="A12" s="13" t="s">
        <v>653</v>
      </c>
      <c r="B12" s="13"/>
      <c r="C12" s="13"/>
      <c r="D12" s="13"/>
    </row>
    <row r="13" customFormat="false" ht="15" hidden="false" customHeight="true" outlineLevel="0" collapsed="false">
      <c r="A13" s="14" t="s">
        <v>130</v>
      </c>
      <c r="B13" s="14" t="s">
        <v>131</v>
      </c>
      <c r="C13" s="14" t="s">
        <v>132</v>
      </c>
      <c r="D13" s="14" t="s">
        <v>133</v>
      </c>
    </row>
    <row r="14" customFormat="false" ht="15" hidden="false" customHeight="true" outlineLevel="0" collapsed="false">
      <c r="A14" s="6" t="s">
        <v>654</v>
      </c>
      <c r="B14" s="26" t="n">
        <f aca="false">Constants!$B$7/($B$6*Constants!$B$8)/Constants!$B$10</f>
        <v>0.968715079572289</v>
      </c>
      <c r="C14" s="7" t="s">
        <v>150</v>
      </c>
    </row>
    <row r="15" customFormat="false" ht="15" hidden="false" customHeight="true" outlineLevel="0" collapsed="false">
      <c r="A15" s="6" t="s">
        <v>655</v>
      </c>
      <c r="B15" s="26" t="n">
        <f aca="false">($B$7/4)/$B$14</f>
        <v>2.58073818888399</v>
      </c>
    </row>
    <row r="16" customFormat="false" ht="15" hidden="false" customHeight="true" outlineLevel="0" collapsed="false">
      <c r="A16" s="6" t="s">
        <v>656</v>
      </c>
      <c r="B16" s="26" t="n">
        <f aca="false">TANH($B$15)</f>
        <v>0.988598907032337</v>
      </c>
      <c r="C16" s="7" t="s">
        <v>159</v>
      </c>
    </row>
    <row r="17" customFormat="false" ht="15" hidden="false" customHeight="true" outlineLevel="0" collapsed="false">
      <c r="A17" s="6" t="s">
        <v>657</v>
      </c>
      <c r="B17" s="56" t="n">
        <f aca="false">2*$B$14*(COSH($B$15)-1)</f>
        <v>10.9296265257335</v>
      </c>
      <c r="C17" s="7" t="s">
        <v>328</v>
      </c>
      <c r="D17" s="6" t="s">
        <v>658</v>
      </c>
    </row>
    <row r="18" customFormat="false" ht="15" hidden="false" customHeight="true" outlineLevel="0" collapsed="false">
      <c r="A18" s="6" t="s">
        <v>659</v>
      </c>
      <c r="B18" s="56" t="n">
        <f aca="false">4*$B$14*SINH($B$15)</f>
        <v>25.4407163507872</v>
      </c>
      <c r="C18" s="7" t="s">
        <v>150</v>
      </c>
    </row>
    <row r="19" customFormat="false" ht="15" hidden="false" customHeight="true" outlineLevel="0" collapsed="false">
      <c r="A19" s="6" t="s">
        <v>660</v>
      </c>
      <c r="B19" s="56" t="n">
        <f aca="false">$B$18-$B$7</f>
        <v>15.4407163507872</v>
      </c>
      <c r="C19" s="7" t="s">
        <v>150</v>
      </c>
    </row>
    <row r="20" customFormat="false" ht="15" hidden="false" customHeight="true" outlineLevel="0" collapsed="false">
      <c r="A20" s="6" t="s">
        <v>444</v>
      </c>
      <c r="B20" s="64" t="str">
        <f aca="false">IF($B$19&lt;1/12,TEXT($B$19*365.25,"0.0")&amp;" days",IF($B$19&lt;1,TEXT($B$19*12,"0.0")&amp;" months",TEXT($B$19,"0.0")&amp;" years"))</f>
        <v>15.4 years</v>
      </c>
      <c r="D20" s="6" t="s">
        <v>661</v>
      </c>
    </row>
    <row r="21" customFormat="false" ht="15" hidden="false" customHeight="true" outlineLevel="0" collapsed="false">
      <c r="A21" s="6" t="s">
        <v>662</v>
      </c>
      <c r="B21" s="23" t="n">
        <f aca="false">EXP(4*$B$15/$B$9)</f>
        <v>30422.9566550398</v>
      </c>
      <c r="C21" s="7" t="s">
        <v>217</v>
      </c>
      <c r="D21" s="6" t="s">
        <v>663</v>
      </c>
    </row>
    <row r="22" customFormat="false" ht="15" hidden="false" customHeight="true" outlineLevel="0" collapsed="false">
      <c r="A22" s="6" t="s">
        <v>664</v>
      </c>
      <c r="B22" s="23" t="n">
        <f aca="false">$B$21-1</f>
        <v>30421.9566550398</v>
      </c>
      <c r="C22" s="7" t="s">
        <v>651</v>
      </c>
    </row>
    <row r="23" customFormat="false" ht="15" hidden="false" customHeight="true" outlineLevel="0" collapsed="false">
      <c r="A23" s="6" t="s">
        <v>665</v>
      </c>
      <c r="B23" s="23" t="n">
        <f aca="false">$B$22*$B$10</f>
        <v>30421956655.0398</v>
      </c>
      <c r="C23" s="7" t="s">
        <v>651</v>
      </c>
      <c r="D23" s="6" t="s">
        <v>666</v>
      </c>
    </row>
    <row r="24" customFormat="false" ht="15" hidden="false" customHeight="true" outlineLevel="0" collapsed="false">
      <c r="A24" s="6" t="s">
        <v>667</v>
      </c>
      <c r="B24" s="23" t="n">
        <f aca="false">$B$23/$B$19</f>
        <v>1970242569.31505</v>
      </c>
      <c r="C24" s="7" t="s">
        <v>668</v>
      </c>
      <c r="D24" s="6" t="s">
        <v>669</v>
      </c>
    </row>
    <row r="26" customFormat="false" ht="15" hidden="false" customHeight="true" outlineLevel="0" collapsed="false">
      <c r="A26" s="13" t="s">
        <v>670</v>
      </c>
      <c r="B26" s="13"/>
      <c r="C26" s="13"/>
      <c r="D26" s="13"/>
    </row>
    <row r="27" customFormat="false" ht="15" hidden="false" customHeight="true" outlineLevel="0" collapsed="false">
      <c r="A27" s="14" t="s">
        <v>671</v>
      </c>
      <c r="B27" s="14" t="s">
        <v>672</v>
      </c>
      <c r="C27" s="14" t="s">
        <v>673</v>
      </c>
      <c r="D27" s="14" t="s">
        <v>674</v>
      </c>
    </row>
    <row r="28" customFormat="false" ht="15" hidden="false" customHeight="true" outlineLevel="0" collapsed="false">
      <c r="A28" s="54" t="n">
        <f aca="false">IF(1&lt;=$B$8,1,"")</f>
        <v>1</v>
      </c>
      <c r="B28" s="54" t="n">
        <f aca="false">IF(1&lt;=$B$8,1*$B$7,"")</f>
        <v>10</v>
      </c>
      <c r="C28" s="64" t="str">
        <f aca="false">IF(1&lt;=$B$8,TEXT(Chrysalis!$B$22+1*$B$18,"0"),"")</f>
        <v>2150</v>
      </c>
      <c r="D28" s="10" t="str">
        <f aca="false">IF(1&lt;=$B$8,TEXT(1*($B$18-$B$7),"0.0")&amp;" years ahead of staying home","")</f>
        <v>15.4 years ahead of staying home</v>
      </c>
    </row>
    <row r="29" customFormat="false" ht="15" hidden="false" customHeight="true" outlineLevel="0" collapsed="false">
      <c r="A29" s="54" t="n">
        <f aca="false">IF(2&lt;=$B$8,2,"")</f>
        <v>2</v>
      </c>
      <c r="B29" s="54" t="n">
        <f aca="false">IF(2&lt;=$B$8,2*$B$7,"")</f>
        <v>20</v>
      </c>
      <c r="C29" s="64" t="str">
        <f aca="false">IF(2&lt;=$B$8,TEXT(Chrysalis!$B$22+2*$B$18,"0"),"")</f>
        <v>2176</v>
      </c>
      <c r="D29" s="10" t="str">
        <f aca="false">IF(2&lt;=$B$8,TEXT(2*($B$18-$B$7),"0.0")&amp;" years ahead of staying home","")</f>
        <v>30.9 years ahead of staying home</v>
      </c>
    </row>
    <row r="30" customFormat="false" ht="15" hidden="false" customHeight="true" outlineLevel="0" collapsed="false">
      <c r="A30" s="54" t="n">
        <f aca="false">IF(3&lt;=$B$8,3,"")</f>
        <v>3</v>
      </c>
      <c r="B30" s="54" t="n">
        <f aca="false">IF(3&lt;=$B$8,3*$B$7,"")</f>
        <v>30</v>
      </c>
      <c r="C30" s="64" t="str">
        <f aca="false">IF(3&lt;=$B$8,TEXT(Chrysalis!$B$22+3*$B$18,"0"),"")</f>
        <v>2201</v>
      </c>
      <c r="D30" s="10" t="str">
        <f aca="false">IF(3&lt;=$B$8,TEXT(3*($B$18-$B$7),"0.0")&amp;" years ahead of staying home","")</f>
        <v>46.3 years ahead of staying home</v>
      </c>
    </row>
    <row r="31" customFormat="false" ht="15" hidden="false" customHeight="true" outlineLevel="0" collapsed="false">
      <c r="A31" s="54" t="n">
        <f aca="false">IF(4&lt;=$B$8,4,"")</f>
        <v>4</v>
      </c>
      <c r="B31" s="54" t="n">
        <f aca="false">IF(4&lt;=$B$8,4*$B$7,"")</f>
        <v>40</v>
      </c>
      <c r="C31" s="64" t="str">
        <f aca="false">IF(4&lt;=$B$8,TEXT(Chrysalis!$B$22+4*$B$18,"0"),"")</f>
        <v>2227</v>
      </c>
      <c r="D31" s="10" t="str">
        <f aca="false">IF(4&lt;=$B$8,TEXT(4*($B$18-$B$7),"0.0")&amp;" years ahead of staying home","")</f>
        <v>61.8 years ahead of staying home</v>
      </c>
    </row>
    <row r="32" customFormat="false" ht="15" hidden="false" customHeight="true" outlineLevel="0" collapsed="false">
      <c r="A32" s="54" t="n">
        <f aca="false">IF(5&lt;=$B$8,5,"")</f>
        <v>5</v>
      </c>
      <c r="B32" s="54" t="n">
        <f aca="false">IF(5&lt;=$B$8,5*$B$7,"")</f>
        <v>50</v>
      </c>
      <c r="C32" s="64" t="str">
        <f aca="false">IF(5&lt;=$B$8,TEXT(Chrysalis!$B$22+5*$B$18,"0"),"")</f>
        <v>2252</v>
      </c>
      <c r="D32" s="10" t="str">
        <f aca="false">IF(5&lt;=$B$8,TEXT(5*($B$18-$B$7),"0.0")&amp;" years ahead of staying home","")</f>
        <v>77.2 years ahead of staying home</v>
      </c>
    </row>
    <row r="33" customFormat="false" ht="15" hidden="false" customHeight="true" outlineLevel="0" collapsed="false">
      <c r="A33" s="54" t="str">
        <f aca="false">IF(6&lt;=$B$8,6,"")</f>
        <v/>
      </c>
      <c r="B33" s="54" t="str">
        <f aca="false">IF(6&lt;=$B$8,6*$B$7,"")</f>
        <v/>
      </c>
      <c r="C33" s="64" t="str">
        <f aca="false">IF(6&lt;=$B$8,TEXT(Chrysalis!$B$22+6*$B$18,"0"),"")</f>
        <v/>
      </c>
      <c r="D33" s="10" t="str">
        <f aca="false">IF(6&lt;=$B$8,TEXT(6*($B$18-$B$7),"0.0")&amp;" years ahead of staying home","")</f>
        <v/>
      </c>
    </row>
    <row r="34" customFormat="false" ht="15" hidden="false" customHeight="true" outlineLevel="0" collapsed="false">
      <c r="A34" s="54" t="str">
        <f aca="false">IF(7&lt;=$B$8,7,"")</f>
        <v/>
      </c>
      <c r="B34" s="54" t="str">
        <f aca="false">IF(7&lt;=$B$8,7*$B$7,"")</f>
        <v/>
      </c>
      <c r="C34" s="64" t="str">
        <f aca="false">IF(7&lt;=$B$8,TEXT(Chrysalis!$B$22+7*$B$18,"0"),"")</f>
        <v/>
      </c>
      <c r="D34" s="10" t="str">
        <f aca="false">IF(7&lt;=$B$8,TEXT(7*($B$18-$B$7),"0.0")&amp;" years ahead of staying home","")</f>
        <v/>
      </c>
    </row>
    <row r="35" customFormat="false" ht="15" hidden="false" customHeight="true" outlineLevel="0" collapsed="false">
      <c r="A35" s="54" t="str">
        <f aca="false">IF(8&lt;=$B$8,8,"")</f>
        <v/>
      </c>
      <c r="B35" s="54" t="str">
        <f aca="false">IF(8&lt;=$B$8,8*$B$7,"")</f>
        <v/>
      </c>
      <c r="C35" s="64" t="str">
        <f aca="false">IF(8&lt;=$B$8,TEXT(Chrysalis!$B$22+8*$B$18,"0"),"")</f>
        <v/>
      </c>
      <c r="D35" s="10" t="str">
        <f aca="false">IF(8&lt;=$B$8,TEXT(8*($B$18-$B$7),"0.0")&amp;" years ahead of staying home","")</f>
        <v/>
      </c>
    </row>
    <row r="36" customFormat="false" ht="15" hidden="false" customHeight="true" outlineLevel="0" collapsed="false">
      <c r="A36" s="54" t="str">
        <f aca="false">IF(9&lt;=$B$8,9,"")</f>
        <v/>
      </c>
      <c r="B36" s="54" t="str">
        <f aca="false">IF(9&lt;=$B$8,9*$B$7,"")</f>
        <v/>
      </c>
      <c r="C36" s="64" t="str">
        <f aca="false">IF(9&lt;=$B$8,TEXT(Chrysalis!$B$22+9*$B$18,"0"),"")</f>
        <v/>
      </c>
      <c r="D36" s="10" t="str">
        <f aca="false">IF(9&lt;=$B$8,TEXT(9*($B$18-$B$7),"0.0")&amp;" years ahead of staying home","")</f>
        <v/>
      </c>
    </row>
    <row r="37" customFormat="false" ht="15" hidden="false" customHeight="true" outlineLevel="0" collapsed="false">
      <c r="A37" s="54" t="str">
        <f aca="false">IF(10&lt;=$B$8,10,"")</f>
        <v/>
      </c>
      <c r="B37" s="54" t="str">
        <f aca="false">IF(10&lt;=$B$8,10*$B$7,"")</f>
        <v/>
      </c>
      <c r="C37" s="64" t="str">
        <f aca="false">IF(10&lt;=$B$8,TEXT(Chrysalis!$B$22+10*$B$18,"0"),"")</f>
        <v/>
      </c>
      <c r="D37" s="10" t="str">
        <f aca="false">IF(10&lt;=$B$8,TEXT(10*($B$18-$B$7),"0.0")&amp;" years ahead of staying home","")</f>
        <v/>
      </c>
    </row>
    <row r="39" customFormat="false" ht="79.5" hidden="false" customHeight="true" outlineLevel="0" collapsed="false">
      <c r="A39" s="6" t="s">
        <v>675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8"/>
    <col collapsed="false" customWidth="true" hidden="false" outlineLevel="0" max="2" min="2" style="1" width="18"/>
    <col collapsed="false" customWidth="true" hidden="false" outlineLevel="0" max="3" min="3" style="1" width="14"/>
    <col collapsed="false" customWidth="true" hidden="false" outlineLevel="0" max="4" min="4" style="1" width="78"/>
  </cols>
  <sheetData>
    <row r="1" customFormat="false" ht="18" hidden="false" customHeight="true" outlineLevel="0" collapsed="false">
      <c r="A1" s="2" t="s">
        <v>676</v>
      </c>
    </row>
    <row r="2" customFormat="false" ht="68.25" hidden="false" customHeight="true" outlineLevel="0" collapsed="false">
      <c r="A2" s="11" t="s">
        <v>677</v>
      </c>
    </row>
    <row r="4" customFormat="false" ht="15" hidden="false" customHeight="true" outlineLevel="0" collapsed="false">
      <c r="A4" s="13" t="s">
        <v>424</v>
      </c>
      <c r="B4" s="13"/>
      <c r="C4" s="13"/>
      <c r="D4" s="13"/>
    </row>
    <row r="5" customFormat="false" ht="15" hidden="false" customHeight="true" outlineLevel="0" collapsed="false">
      <c r="A5" s="14" t="s">
        <v>130</v>
      </c>
      <c r="B5" s="14" t="s">
        <v>131</v>
      </c>
      <c r="C5" s="14" t="s">
        <v>132</v>
      </c>
      <c r="D5" s="14" t="s">
        <v>133</v>
      </c>
    </row>
    <row r="6" customFormat="false" ht="15" hidden="false" customHeight="true" outlineLevel="0" collapsed="false">
      <c r="A6" s="6" t="s">
        <v>678</v>
      </c>
      <c r="B6" s="69" t="n">
        <v>0.5</v>
      </c>
      <c r="D6" s="6" t="s">
        <v>679</v>
      </c>
    </row>
    <row r="7" customFormat="false" ht="15" hidden="false" customHeight="true" outlineLevel="0" collapsed="false">
      <c r="A7" s="6" t="s">
        <v>680</v>
      </c>
      <c r="B7" s="31" t="n">
        <f aca="false">Chrysalis!$B$31</f>
        <v>2400000000000</v>
      </c>
      <c r="C7" s="7" t="s">
        <v>176</v>
      </c>
      <c r="D7" s="6" t="s">
        <v>468</v>
      </c>
    </row>
    <row r="8" customFormat="false" ht="15" hidden="false" customHeight="true" outlineLevel="0" collapsed="false">
      <c r="A8" s="6" t="s">
        <v>681</v>
      </c>
      <c r="B8" s="31" t="n">
        <f aca="false">Chrysalis!$B$80</f>
        <v>2128107460692.75</v>
      </c>
      <c r="C8" s="7" t="s">
        <v>176</v>
      </c>
      <c r="D8" s="6" t="s">
        <v>682</v>
      </c>
    </row>
    <row r="9" customFormat="false" ht="15" hidden="false" customHeight="true" outlineLevel="0" collapsed="false">
      <c r="A9" s="6" t="s">
        <v>528</v>
      </c>
      <c r="B9" s="31" t="n">
        <f aca="false">Chrysalis!$B$19*Constants!$B$7</f>
        <v>9983088.8514</v>
      </c>
      <c r="C9" s="7" t="s">
        <v>180</v>
      </c>
    </row>
    <row r="10" customFormat="false" ht="15" hidden="false" customHeight="true" outlineLevel="0" collapsed="false">
      <c r="A10" s="6" t="s">
        <v>177</v>
      </c>
      <c r="B10" s="70" t="n">
        <f aca="false">Chrysalis!$B$32</f>
        <v>40000000000000000</v>
      </c>
      <c r="C10" s="7" t="s">
        <v>174</v>
      </c>
    </row>
    <row r="12" customFormat="false" ht="15" hidden="false" customHeight="true" outlineLevel="0" collapsed="false">
      <c r="A12" s="13" t="s">
        <v>683</v>
      </c>
      <c r="B12" s="13"/>
      <c r="C12" s="13"/>
      <c r="D12" s="13"/>
    </row>
    <row r="13" customFormat="false" ht="15" hidden="false" customHeight="true" outlineLevel="0" collapsed="false">
      <c r="A13" s="14" t="s">
        <v>130</v>
      </c>
      <c r="B13" s="14" t="s">
        <v>131</v>
      </c>
      <c r="C13" s="14" t="s">
        <v>132</v>
      </c>
      <c r="D13" s="14" t="s">
        <v>133</v>
      </c>
    </row>
    <row r="14" customFormat="false" ht="15" hidden="false" customHeight="true" outlineLevel="0" collapsed="false">
      <c r="A14" s="6" t="s">
        <v>684</v>
      </c>
      <c r="B14" s="23" t="n">
        <f aca="false">$B$7*(1-$B$6)</f>
        <v>1200000000000</v>
      </c>
      <c r="C14" s="7" t="s">
        <v>176</v>
      </c>
    </row>
    <row r="15" customFormat="false" ht="15" hidden="false" customHeight="true" outlineLevel="0" collapsed="false">
      <c r="A15" s="6" t="s">
        <v>685</v>
      </c>
      <c r="B15" s="26" t="n">
        <f aca="false">(-($B$7-$B$14)+SQRT(($B$7-$B$14)^2+4*$B$14*($B$7+$B$8)))/(2*$B$14)</f>
        <v>1.50584717361783</v>
      </c>
      <c r="D15" s="6" t="s">
        <v>686</v>
      </c>
    </row>
    <row r="16" customFormat="false" ht="15" hidden="false" customHeight="true" outlineLevel="0" collapsed="false">
      <c r="A16" s="6" t="s">
        <v>687</v>
      </c>
      <c r="B16" s="23" t="n">
        <f aca="false">$B$9*LN($B$15)</f>
        <v>4086633.78471227</v>
      </c>
      <c r="C16" s="7" t="s">
        <v>180</v>
      </c>
    </row>
    <row r="17" customFormat="false" ht="15" hidden="false" customHeight="true" outlineLevel="0" collapsed="false">
      <c r="A17" s="6" t="s">
        <v>555</v>
      </c>
      <c r="B17" s="26" t="n">
        <f aca="false">$B$16/Constants!$B$7</f>
        <v>0.0136315430080375</v>
      </c>
      <c r="C17" s="7" t="s">
        <v>159</v>
      </c>
    </row>
    <row r="18" customFormat="false" ht="15" hidden="false" customHeight="true" outlineLevel="0" collapsed="false">
      <c r="A18" s="6" t="s">
        <v>556</v>
      </c>
      <c r="B18" s="71" t="n">
        <f aca="false">$B$10/$B$16/Constants!$B$10</f>
        <v>310.163224633157</v>
      </c>
      <c r="C18" s="7" t="s">
        <v>150</v>
      </c>
    </row>
    <row r="19" customFormat="false" ht="15" hidden="false" customHeight="true" outlineLevel="0" collapsed="false">
      <c r="A19" s="6" t="s">
        <v>688</v>
      </c>
      <c r="B19" s="71" t="n">
        <f aca="false">Chrysalis!$B$13-$B$18</f>
        <v>89.8367753668433</v>
      </c>
      <c r="C19" s="7" t="s">
        <v>150</v>
      </c>
    </row>
    <row r="20" customFormat="false" ht="15" hidden="false" customHeight="true" outlineLevel="0" collapsed="false">
      <c r="A20" s="6" t="s">
        <v>689</v>
      </c>
      <c r="B20" s="71" t="n">
        <f aca="false">$B$17^2/2*$B$18*365.25</f>
        <v>10.525447475997</v>
      </c>
      <c r="C20" s="7" t="s">
        <v>223</v>
      </c>
      <c r="D20" s="6" t="s">
        <v>690</v>
      </c>
    </row>
    <row r="21" customFormat="false" ht="15" hidden="false" customHeight="true" outlineLevel="0" collapsed="false">
      <c r="A21" s="6" t="s">
        <v>691</v>
      </c>
      <c r="B21" s="71" t="n">
        <f aca="false">'Lead table'!$Q$5*-365.25+$B$20</f>
        <v>2.36370267709617</v>
      </c>
      <c r="C21" s="7" t="s">
        <v>223</v>
      </c>
    </row>
    <row r="22" customFormat="false" ht="15" hidden="false" customHeight="true" outlineLevel="0" collapsed="false">
      <c r="A22" s="6" t="s">
        <v>692</v>
      </c>
      <c r="B22" s="26" t="n">
        <f aca="false">$B$9*LN(SQRT(1+$B$8/$B$7))/Constants!$B$7</f>
        <v>0.0105700083402462</v>
      </c>
      <c r="C22" s="7" t="s">
        <v>159</v>
      </c>
      <c r="D22" s="6" t="s">
        <v>693</v>
      </c>
    </row>
    <row r="24" customFormat="false" ht="15" hidden="false" customHeight="true" outlineLevel="0" collapsed="false">
      <c r="A24" s="13" t="s">
        <v>694</v>
      </c>
      <c r="B24" s="13"/>
      <c r="C24" s="13"/>
      <c r="D24" s="13"/>
    </row>
    <row r="25" customFormat="false" ht="15" hidden="false" customHeight="true" outlineLevel="0" collapsed="false">
      <c r="A25" s="14" t="s">
        <v>695</v>
      </c>
      <c r="B25" s="14" t="s">
        <v>696</v>
      </c>
      <c r="C25" s="14" t="s">
        <v>697</v>
      </c>
      <c r="D25" s="14" t="s">
        <v>698</v>
      </c>
    </row>
    <row r="26" customFormat="false" ht="15" hidden="false" customHeight="true" outlineLevel="0" collapsed="false">
      <c r="A26" s="72" t="n">
        <v>0.1</v>
      </c>
      <c r="B26" s="26" t="n">
        <f aca="false">$B$9*LN((-($B$7-$B$7*(1-$A26))+SQRT(($B$7-$B$7*(1-$A26))^2+4*$B$7*(1-$A26)*($B$7+$B$8)))/(2*$B$7*(1-$A26)))/Constants!$B$7</f>
        <v>0.0110468408671711</v>
      </c>
      <c r="C26" s="71" t="n">
        <f aca="false">$B$10/($B26*Constants!$B$7)/Constants!$B$10</f>
        <v>382.734157840836</v>
      </c>
      <c r="D26" s="10" t="str">
        <f aca="false">TEXT(Chrysalis!$B$13-$C26,"0")&amp;" yr saved; lead "&amp;TEXT($B26^2/2*$C26*365.25,"0.0")&amp;" days"</f>
        <v>17 yr saved; lead 8.5 days</v>
      </c>
    </row>
    <row r="27" customFormat="false" ht="15" hidden="false" customHeight="true" outlineLevel="0" collapsed="false">
      <c r="A27" s="72" t="n">
        <v>0.2</v>
      </c>
      <c r="B27" s="26" t="n">
        <f aca="false">$B$9*LN((-($B$7-$B$7*(1-$A27))+SQRT(($B$7-$B$7*(1-$A27))^2+4*$B$7*(1-$A27)*($B$7+$B$8)))/(2*$B$7*(1-$A27)))/Constants!$B$7</f>
        <v>0.0115778507155378</v>
      </c>
      <c r="C27" s="71" t="n">
        <f aca="false">$B$10/($B27*Constants!$B$7)/Constants!$B$10</f>
        <v>365.180329231951</v>
      </c>
      <c r="D27" s="10" t="str">
        <f aca="false">TEXT(Chrysalis!$B$13-$C27,"0")&amp;" yr saved; lead "&amp;TEXT($B27^2/2*$C27*365.25,"0.0")&amp;" days"</f>
        <v>35 yr saved; lead 8.9 days</v>
      </c>
    </row>
    <row r="28" customFormat="false" ht="15" hidden="false" customHeight="true" outlineLevel="0" collapsed="false">
      <c r="A28" s="72" t="n">
        <v>0.3</v>
      </c>
      <c r="B28" s="26" t="n">
        <f aca="false">$B$9*LN((-($B$7-$B$7*(1-$A28))+SQRT(($B$7-$B$7*(1-$A28))^2+4*$B$7*(1-$A28)*($B$7+$B$8)))/(2*$B$7*(1-$A28)))/Constants!$B$7</f>
        <v>0.0121744533864532</v>
      </c>
      <c r="C28" s="71" t="n">
        <f aca="false">$B$10/($B28*Constants!$B$7)/Constants!$B$10</f>
        <v>347.28485968849</v>
      </c>
      <c r="D28" s="10" t="str">
        <f aca="false">TEXT(Chrysalis!$B$13-$C28,"0")&amp;" yr saved; lead "&amp;TEXT($B28^2/2*$C28*365.25,"0.0")&amp;" days"</f>
        <v>53 yr saved; lead 9.4 days</v>
      </c>
    </row>
    <row r="29" customFormat="false" ht="15" hidden="false" customHeight="true" outlineLevel="0" collapsed="false">
      <c r="A29" s="72" t="n">
        <v>0.4</v>
      </c>
      <c r="B29" s="26" t="n">
        <f aca="false">$B$9*LN((-($B$7-$B$7*(1-$A29))+SQRT(($B$7-$B$7*(1-$A29))^2+4*$B$7*(1-$A29)*($B$7+$B$8)))/(2*$B$7*(1-$A29)))/Constants!$B$7</f>
        <v>0.0128519548399917</v>
      </c>
      <c r="C29" s="71" t="n">
        <f aca="false">$B$10/($B29*Constants!$B$7)/Constants!$B$10</f>
        <v>328.977450414166</v>
      </c>
      <c r="D29" s="10" t="str">
        <f aca="false">TEXT(Chrysalis!$B$13-$C29,"0")&amp;" yr saved; lead "&amp;TEXT($B29^2/2*$C29*365.25,"0.0")&amp;" days"</f>
        <v>71 yr saved; lead 9.9 days</v>
      </c>
    </row>
    <row r="30" customFormat="false" ht="15" hidden="false" customHeight="true" outlineLevel="0" collapsed="false">
      <c r="A30" s="72" t="n">
        <v>0.5</v>
      </c>
      <c r="B30" s="26" t="n">
        <f aca="false">$B$9*LN((-($B$7-$B$7*(1-$A30))+SQRT(($B$7-$B$7*(1-$A30))^2+4*$B$7*(1-$A30)*($B$7+$B$8)))/(2*$B$7*(1-$A30)))/Constants!$B$7</f>
        <v>0.0136315430080375</v>
      </c>
      <c r="C30" s="71" t="n">
        <f aca="false">$B$10/($B30*Constants!$B$7)/Constants!$B$10</f>
        <v>310.163224633157</v>
      </c>
      <c r="D30" s="10" t="str">
        <f aca="false">TEXT(Chrysalis!$B$13-$C30,"0")&amp;" yr saved; lead "&amp;TEXT($B30^2/2*$C30*365.25,"0.0")&amp;" days"</f>
        <v>90 yr saved; lead 10.5 days</v>
      </c>
    </row>
    <row r="31" customFormat="false" ht="15" hidden="false" customHeight="true" outlineLevel="0" collapsed="false">
      <c r="A31" s="72" t="n">
        <v>0.6</v>
      </c>
      <c r="B31" s="26" t="n">
        <f aca="false">$B$9*LN((-($B$7-$B$7*(1-$A31))+SQRT(($B$7-$B$7*(1-$A31))^2+4*$B$7*(1-$A31)*($B$7+$B$8)))/(2*$B$7*(1-$A31)))/Constants!$B$7</f>
        <v>0.0145437528034381</v>
      </c>
      <c r="C31" s="71" t="n">
        <f aca="false">$B$10/($B31*Constants!$B$7)/Constants!$B$10</f>
        <v>290.709240815683</v>
      </c>
      <c r="D31" s="10" t="str">
        <f aca="false">TEXT(Chrysalis!$B$13-$C31,"0")&amp;" yr saved; lead "&amp;TEXT($B31^2/2*$C31*365.25,"0.0")&amp;" days"</f>
        <v>109 yr saved; lead 11.2 days</v>
      </c>
    </row>
    <row r="32" customFormat="false" ht="15" hidden="false" customHeight="true" outlineLevel="0" collapsed="false">
      <c r="A32" s="72" t="n">
        <v>0.7</v>
      </c>
      <c r="B32" s="26" t="n">
        <f aca="false">$B$9*LN((-($B$7-$B$7*(1-$A32))+SQRT(($B$7-$B$7*(1-$A32))^2+4*$B$7*(1-$A32)*($B$7+$B$8)))/(2*$B$7*(1-$A32)))/Constants!$B$7</f>
        <v>0.0156349591750546</v>
      </c>
      <c r="C32" s="71" t="n">
        <f aca="false">$B$10/($B32*Constants!$B$7)/Constants!$B$10</f>
        <v>270.419851357476</v>
      </c>
      <c r="D32" s="10" t="str">
        <f aca="false">TEXT(Chrysalis!$B$13-$C32,"0")&amp;" yr saved; lead "&amp;TEXT($B32^2/2*$C32*365.25,"0.0")&amp;" days"</f>
        <v>130 yr saved; lead 12.1 days</v>
      </c>
    </row>
    <row r="33" customFormat="false" ht="15" hidden="false" customHeight="true" outlineLevel="0" collapsed="false">
      <c r="A33" s="72" t="n">
        <v>0.8</v>
      </c>
      <c r="B33" s="26" t="n">
        <f aca="false">$B$9*LN((-($B$7-$B$7*(1-$A33))+SQRT(($B$7-$B$7*(1-$A33))^2+4*$B$7*(1-$A33)*($B$7+$B$8)))/(2*$B$7*(1-$A33)))/Constants!$B$7</f>
        <v>0.0169808112734491</v>
      </c>
      <c r="C33" s="71" t="n">
        <f aca="false">$B$10/($B33*Constants!$B$7)/Constants!$B$10</f>
        <v>248.987122465068</v>
      </c>
      <c r="D33" s="10" t="str">
        <f aca="false">TEXT(Chrysalis!$B$13-$C33,"0")&amp;" yr saved; lead "&amp;TEXT($B33^2/2*$C33*365.25,"0.0")&amp;" days"</f>
        <v>151 yr saved; lead 13.1 days</v>
      </c>
    </row>
    <row r="34" customFormat="false" ht="15" hidden="false" customHeight="true" outlineLevel="0" collapsed="false">
      <c r="A34" s="72" t="n">
        <v>0.9</v>
      </c>
      <c r="B34" s="26" t="n">
        <f aca="false">$B$9*LN((-($B$7-$B$7*(1-$A34))+SQRT(($B$7-$B$7*(1-$A34))^2+4*$B$7*(1-$A34)*($B$7+$B$8)))/(2*$B$7*(1-$A34)))/Constants!$B$7</f>
        <v>0.0187182119097147</v>
      </c>
      <c r="C34" s="71" t="n">
        <f aca="false">$B$10/($B34*Constants!$B$7)/Constants!$B$10</f>
        <v>225.876454251709</v>
      </c>
      <c r="D34" s="10" t="str">
        <f aca="false">TEXT(Chrysalis!$B$13-$C34,"0")&amp;" yr saved; lead "&amp;TEXT($B34^2/2*$C34*365.25,"0.0")&amp;" days"</f>
        <v>174 yr saved; lead 14.5 days</v>
      </c>
    </row>
    <row r="36" customFormat="false" ht="15" hidden="false" customHeight="true" outlineLevel="0" collapsed="false">
      <c r="A36" s="13" t="s">
        <v>699</v>
      </c>
      <c r="B36" s="13"/>
      <c r="C36" s="13"/>
      <c r="D36" s="13"/>
    </row>
    <row r="37" customFormat="false" ht="15" hidden="false" customHeight="true" outlineLevel="0" collapsed="false">
      <c r="A37" s="14" t="s">
        <v>130</v>
      </c>
      <c r="B37" s="14" t="s">
        <v>131</v>
      </c>
      <c r="C37" s="14" t="s">
        <v>132</v>
      </c>
      <c r="D37" s="14" t="s">
        <v>133</v>
      </c>
    </row>
    <row r="38" customFormat="false" ht="15" hidden="false" customHeight="true" outlineLevel="0" collapsed="false">
      <c r="A38" s="6" t="s">
        <v>700</v>
      </c>
      <c r="B38" s="23" t="n">
        <f aca="false">$B$7*$B$6</f>
        <v>1200000000000</v>
      </c>
      <c r="C38" s="7" t="s">
        <v>176</v>
      </c>
    </row>
    <row r="39" customFormat="false" ht="15" hidden="false" customHeight="true" outlineLevel="0" collapsed="false">
      <c r="A39" s="6" t="s">
        <v>701</v>
      </c>
      <c r="B39" s="31" t="n">
        <f aca="false">$B$38/($B$18/Vigil!$B$9)</f>
        <v>38689306297.3307</v>
      </c>
      <c r="C39" s="7" t="s">
        <v>176</v>
      </c>
      <c r="D39" s="6" t="s">
        <v>702</v>
      </c>
    </row>
    <row r="40" customFormat="false" ht="15" hidden="false" customHeight="true" outlineLevel="0" collapsed="false">
      <c r="A40" s="6" t="s">
        <v>703</v>
      </c>
      <c r="B40" s="58" t="n">
        <f aca="false">$B$16*Vigil!$B$9*Constants!$B$10/Constants!$B$12</f>
        <v>0.136315430080375</v>
      </c>
      <c r="C40" s="7" t="s">
        <v>328</v>
      </c>
      <c r="D40" s="6" t="s">
        <v>704</v>
      </c>
    </row>
    <row r="42" customFormat="false" ht="79.5" hidden="false" customHeight="true" outlineLevel="0" collapsed="false">
      <c r="A42" s="6" t="s">
        <v>705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8"/>
    <col collapsed="false" customWidth="true" hidden="false" outlineLevel="0" max="2" min="2" style="1" width="18"/>
    <col collapsed="false" customWidth="true" hidden="false" outlineLevel="0" max="3" min="3" style="1" width="14"/>
    <col collapsed="false" customWidth="true" hidden="false" outlineLevel="0" max="4" min="4" style="1" width="78"/>
  </cols>
  <sheetData>
    <row r="1" customFormat="false" ht="18" hidden="false" customHeight="true" outlineLevel="0" collapsed="false">
      <c r="A1" s="2" t="s">
        <v>706</v>
      </c>
    </row>
    <row r="2" customFormat="false" ht="68.25" hidden="false" customHeight="true" outlineLevel="0" collapsed="false">
      <c r="A2" s="11" t="s">
        <v>707</v>
      </c>
    </row>
    <row r="4" customFormat="false" ht="15" hidden="false" customHeight="true" outlineLevel="0" collapsed="false">
      <c r="A4" s="13" t="s">
        <v>424</v>
      </c>
      <c r="B4" s="13"/>
      <c r="C4" s="13"/>
      <c r="D4" s="13"/>
    </row>
    <row r="5" customFormat="false" ht="15" hidden="false" customHeight="true" outlineLevel="0" collapsed="false">
      <c r="A5" s="14" t="s">
        <v>130</v>
      </c>
      <c r="B5" s="14" t="s">
        <v>131</v>
      </c>
      <c r="C5" s="14" t="s">
        <v>132</v>
      </c>
      <c r="D5" s="14" t="s">
        <v>133</v>
      </c>
    </row>
    <row r="6" customFormat="false" ht="15" hidden="false" customHeight="true" outlineLevel="0" collapsed="false">
      <c r="A6" s="6" t="s">
        <v>708</v>
      </c>
      <c r="B6" s="68" t="n">
        <v>1</v>
      </c>
      <c r="C6" s="7" t="s">
        <v>546</v>
      </c>
      <c r="D6" s="6" t="s">
        <v>709</v>
      </c>
    </row>
    <row r="7" customFormat="false" ht="15" hidden="false" customHeight="true" outlineLevel="0" collapsed="false">
      <c r="A7" s="6" t="s">
        <v>710</v>
      </c>
      <c r="B7" s="68" t="n">
        <v>1</v>
      </c>
      <c r="C7" s="7" t="s">
        <v>174</v>
      </c>
      <c r="D7" s="6" t="s">
        <v>162</v>
      </c>
    </row>
    <row r="8" customFormat="false" ht="15" hidden="false" customHeight="true" outlineLevel="0" collapsed="false">
      <c r="A8" s="6" t="s">
        <v>711</v>
      </c>
      <c r="B8" s="68" t="n">
        <v>39</v>
      </c>
      <c r="C8" s="7" t="s">
        <v>174</v>
      </c>
      <c r="D8" s="6" t="s">
        <v>712</v>
      </c>
    </row>
    <row r="9" customFormat="false" ht="15" hidden="false" customHeight="true" outlineLevel="0" collapsed="false">
      <c r="A9" s="6" t="s">
        <v>713</v>
      </c>
      <c r="B9" s="68" t="n">
        <v>1064</v>
      </c>
      <c r="C9" s="7" t="s">
        <v>714</v>
      </c>
      <c r="D9" s="6" t="s">
        <v>715</v>
      </c>
    </row>
    <row r="10" customFormat="false" ht="15" hidden="false" customHeight="true" outlineLevel="0" collapsed="false">
      <c r="A10" s="6" t="s">
        <v>696</v>
      </c>
      <c r="B10" s="60" t="n">
        <f aca="false">Chrysalis!$B$36</f>
        <v>0.0105700083402462</v>
      </c>
      <c r="C10" s="7" t="s">
        <v>159</v>
      </c>
      <c r="D10" s="6" t="s">
        <v>468</v>
      </c>
    </row>
    <row r="12" customFormat="false" ht="15" hidden="false" customHeight="true" outlineLevel="0" collapsed="false">
      <c r="A12" s="13" t="s">
        <v>716</v>
      </c>
      <c r="B12" s="13"/>
      <c r="C12" s="13"/>
      <c r="D12" s="13"/>
    </row>
    <row r="13" customFormat="false" ht="15" hidden="false" customHeight="true" outlineLevel="0" collapsed="false">
      <c r="A13" s="14" t="s">
        <v>130</v>
      </c>
      <c r="B13" s="14" t="s">
        <v>131</v>
      </c>
      <c r="C13" s="14" t="s">
        <v>132</v>
      </c>
      <c r="D13" s="14" t="s">
        <v>133</v>
      </c>
    </row>
    <row r="14" customFormat="false" ht="15" hidden="false" customHeight="true" outlineLevel="0" collapsed="false">
      <c r="A14" s="6" t="s">
        <v>717</v>
      </c>
      <c r="B14" s="27" t="n">
        <f aca="false">SQRT((1+$B$10)/(1-$B$10))</f>
        <v>1.01062646607675</v>
      </c>
      <c r="D14" s="6" t="s">
        <v>718</v>
      </c>
    </row>
    <row r="15" customFormat="false" ht="15" hidden="false" customHeight="true" outlineLevel="0" collapsed="false">
      <c r="A15" s="6" t="s">
        <v>719</v>
      </c>
      <c r="B15" s="27" t="n">
        <f aca="false">1/$B$14</f>
        <v>0.989485268362305</v>
      </c>
      <c r="D15" s="6" t="s">
        <v>720</v>
      </c>
    </row>
    <row r="16" customFormat="false" ht="15" hidden="false" customHeight="true" outlineLevel="0" collapsed="false">
      <c r="A16" s="6" t="s">
        <v>721</v>
      </c>
      <c r="B16" s="56" t="n">
        <f aca="false">Chrysalis!$B$64*$B$14</f>
        <v>404.228003336098</v>
      </c>
      <c r="C16" s="7" t="s">
        <v>150</v>
      </c>
    </row>
    <row r="17" customFormat="false" ht="15" hidden="false" customHeight="true" outlineLevel="0" collapsed="false">
      <c r="A17" s="6" t="s">
        <v>722</v>
      </c>
      <c r="B17" s="56" t="n">
        <f aca="false">$B$16-Chrysalis!$B$64</f>
        <v>4.25034897552047</v>
      </c>
      <c r="C17" s="7" t="s">
        <v>150</v>
      </c>
      <c r="D17" s="6" t="s">
        <v>723</v>
      </c>
    </row>
    <row r="18" customFormat="false" ht="15" hidden="false" customHeight="true" outlineLevel="0" collapsed="false">
      <c r="A18" s="6" t="s">
        <v>724</v>
      </c>
      <c r="B18" s="58" t="n">
        <f aca="false">Chrysalis!$B$33</f>
        <v>4.22800333609846</v>
      </c>
      <c r="C18" s="7" t="s">
        <v>150</v>
      </c>
      <c r="D18" s="6" t="s">
        <v>725</v>
      </c>
    </row>
    <row r="19" customFormat="false" ht="15" hidden="false" customHeight="true" outlineLevel="0" collapsed="false">
      <c r="A19" s="6" t="s">
        <v>726</v>
      </c>
      <c r="B19" s="56" t="n">
        <f aca="false">2*$B$18</f>
        <v>8.45600667219692</v>
      </c>
      <c r="C19" s="7" t="s">
        <v>150</v>
      </c>
    </row>
    <row r="21" customFormat="false" ht="15" hidden="false" customHeight="true" outlineLevel="0" collapsed="false">
      <c r="A21" s="13" t="s">
        <v>727</v>
      </c>
      <c r="B21" s="13"/>
      <c r="C21" s="13"/>
      <c r="D21" s="13"/>
    </row>
    <row r="22" customFormat="false" ht="15" hidden="false" customHeight="true" outlineLevel="0" collapsed="false">
      <c r="A22" s="14" t="s">
        <v>130</v>
      </c>
      <c r="B22" s="14" t="s">
        <v>131</v>
      </c>
      <c r="C22" s="14" t="s">
        <v>132</v>
      </c>
      <c r="D22" s="14" t="s">
        <v>133</v>
      </c>
    </row>
    <row r="23" customFormat="false" ht="15" hidden="false" customHeight="true" outlineLevel="0" collapsed="false">
      <c r="A23" s="6" t="s">
        <v>728</v>
      </c>
      <c r="B23" s="73" t="n">
        <f aca="false">$B$6*1000*PI()^2*$B$7^2*$B$8^2/(16*($B$9*0.000000001)^2*(Chrysalis!$B$33*Constants!$B$12)^2)</f>
        <v>5.17971349370193E-016</v>
      </c>
      <c r="C23" s="7" t="s">
        <v>351</v>
      </c>
      <c r="D23" s="6" t="s">
        <v>729</v>
      </c>
    </row>
    <row r="24" customFormat="false" ht="15" hidden="false" customHeight="true" outlineLevel="0" collapsed="false">
      <c r="A24" s="6" t="s">
        <v>730</v>
      </c>
      <c r="B24" s="23" t="n">
        <f aca="false">$B$23/(Constants!$B$52*Constants!$B$7/($B$9*0.000000001))</f>
        <v>2774.40995306507</v>
      </c>
      <c r="C24" s="7" t="s">
        <v>731</v>
      </c>
      <c r="D24" s="6" t="s">
        <v>732</v>
      </c>
    </row>
    <row r="25" customFormat="false" ht="15" hidden="false" customHeight="true" outlineLevel="0" collapsed="false">
      <c r="A25" s="6" t="s">
        <v>733</v>
      </c>
      <c r="B25" s="23" t="n">
        <f aca="false">$B$24/10</f>
        <v>277.440995306507</v>
      </c>
      <c r="C25" s="7" t="s">
        <v>734</v>
      </c>
      <c r="D25" s="6" t="s">
        <v>735</v>
      </c>
    </row>
    <row r="27" customFormat="false" ht="15" hidden="false" customHeight="true" outlineLevel="0" collapsed="false">
      <c r="A27" s="13" t="s">
        <v>736</v>
      </c>
      <c r="B27" s="13"/>
      <c r="C27" s="13"/>
      <c r="D27" s="13"/>
    </row>
    <row r="28" customFormat="false" ht="15" hidden="false" customHeight="true" outlineLevel="0" collapsed="false">
      <c r="A28" s="14" t="s">
        <v>737</v>
      </c>
      <c r="B28" s="14" t="s">
        <v>738</v>
      </c>
      <c r="C28" s="14" t="s">
        <v>739</v>
      </c>
      <c r="D28" s="14" t="s">
        <v>740</v>
      </c>
    </row>
    <row r="29" customFormat="false" ht="15" hidden="false" customHeight="true" outlineLevel="0" collapsed="false">
      <c r="A29" s="68" t="n">
        <v>0</v>
      </c>
      <c r="B29" s="64" t="str">
        <f aca="false">TEXT(Chrysalis!$B$22+$A29*$B$14,"0")</f>
        <v>2125</v>
      </c>
      <c r="C29" s="56" t="n">
        <f aca="false">$A29*$B$10/SQRT(1-$B$10^2)</f>
        <v>0</v>
      </c>
      <c r="D29" s="6" t="s">
        <v>741</v>
      </c>
    </row>
    <row r="30" customFormat="false" ht="15" hidden="false" customHeight="true" outlineLevel="0" collapsed="false">
      <c r="A30" s="68" t="n">
        <v>100</v>
      </c>
      <c r="B30" s="64" t="str">
        <f aca="false">TEXT(Chrysalis!$B$22+$A30*$B$14,"0")</f>
        <v>2226</v>
      </c>
      <c r="C30" s="56" t="n">
        <f aca="false">$A30*$B$10/SQRT(1-$B$10^2)</f>
        <v>1.05705988572225</v>
      </c>
      <c r="D30" s="6" t="s">
        <v>742</v>
      </c>
    </row>
    <row r="31" customFormat="false" ht="15" hidden="false" customHeight="true" outlineLevel="0" collapsed="false">
      <c r="A31" s="68" t="n">
        <v>200</v>
      </c>
      <c r="B31" s="64" t="str">
        <f aca="false">TEXT(Chrysalis!$B$22+$A31*$B$14,"0")</f>
        <v>2327</v>
      </c>
      <c r="C31" s="56" t="n">
        <f aca="false">$A31*$B$10/SQRT(1-$B$10^2)</f>
        <v>2.1141197714445</v>
      </c>
      <c r="D31" s="6" t="s">
        <v>743</v>
      </c>
    </row>
    <row r="32" customFormat="false" ht="15" hidden="false" customHeight="true" outlineLevel="0" collapsed="false">
      <c r="A32" s="68" t="n">
        <v>300</v>
      </c>
      <c r="B32" s="64" t="str">
        <f aca="false">TEXT(Chrysalis!$B$22+$A32*$B$14,"0")</f>
        <v>2428</v>
      </c>
      <c r="C32" s="56" t="n">
        <f aca="false">$A32*$B$10/SQRT(1-$B$10^2)</f>
        <v>3.17117965716675</v>
      </c>
      <c r="D32" s="6" t="s">
        <v>744</v>
      </c>
    </row>
    <row r="33" customFormat="false" ht="15" hidden="false" customHeight="true" outlineLevel="0" collapsed="false">
      <c r="A33" s="68" t="n">
        <v>400</v>
      </c>
      <c r="B33" s="64" t="str">
        <f aca="false">TEXT(Chrysalis!$B$22+$A33*$B$14,"0")</f>
        <v>2529</v>
      </c>
      <c r="C33" s="56" t="n">
        <f aca="false">$A33*$B$10/SQRT(1-$B$10^2)</f>
        <v>4.228239542889</v>
      </c>
      <c r="D33" s="6" t="s">
        <v>745</v>
      </c>
    </row>
    <row r="35" customFormat="false" ht="79.5" hidden="false" customHeight="true" outlineLevel="0" collapsed="false">
      <c r="A35" s="6" t="s">
        <v>746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8"/>
    <col collapsed="false" customWidth="true" hidden="false" outlineLevel="0" max="2" min="2" style="1" width="18"/>
    <col collapsed="false" customWidth="true" hidden="false" outlineLevel="0" max="3" min="3" style="1" width="14"/>
    <col collapsed="false" customWidth="true" hidden="false" outlineLevel="0" max="4" min="4" style="1" width="78"/>
  </cols>
  <sheetData>
    <row r="1" customFormat="false" ht="18" hidden="false" customHeight="true" outlineLevel="0" collapsed="false">
      <c r="A1" s="2" t="s">
        <v>747</v>
      </c>
    </row>
    <row r="2" customFormat="false" ht="57" hidden="false" customHeight="true" outlineLevel="0" collapsed="false">
      <c r="A2" s="11" t="s">
        <v>748</v>
      </c>
    </row>
    <row r="4" customFormat="false" ht="15" hidden="false" customHeight="true" outlineLevel="0" collapsed="false">
      <c r="A4" s="13" t="s">
        <v>424</v>
      </c>
      <c r="B4" s="13"/>
      <c r="C4" s="13"/>
      <c r="D4" s="13"/>
    </row>
    <row r="5" customFormat="false" ht="15" hidden="false" customHeight="true" outlineLevel="0" collapsed="false">
      <c r="A5" s="14" t="s">
        <v>130</v>
      </c>
      <c r="B5" s="14" t="s">
        <v>131</v>
      </c>
      <c r="C5" s="14" t="s">
        <v>132</v>
      </c>
      <c r="D5" s="14" t="s">
        <v>133</v>
      </c>
    </row>
    <row r="6" customFormat="false" ht="15" hidden="false" customHeight="true" outlineLevel="0" collapsed="false">
      <c r="A6" s="6" t="s">
        <v>749</v>
      </c>
      <c r="B6" s="20" t="n">
        <v>4</v>
      </c>
      <c r="C6" s="7" t="s">
        <v>750</v>
      </c>
      <c r="D6" s="6" t="s">
        <v>751</v>
      </c>
    </row>
    <row r="7" customFormat="false" ht="15" hidden="false" customHeight="true" outlineLevel="0" collapsed="false">
      <c r="A7" s="6" t="s">
        <v>752</v>
      </c>
      <c r="B7" s="68" t="n">
        <v>1</v>
      </c>
      <c r="C7" s="7" t="s">
        <v>753</v>
      </c>
      <c r="D7" s="6" t="s">
        <v>754</v>
      </c>
    </row>
    <row r="8" customFormat="false" ht="15" hidden="false" customHeight="true" outlineLevel="0" collapsed="false">
      <c r="A8" s="6" t="s">
        <v>755</v>
      </c>
      <c r="B8" s="53" t="n">
        <f aca="false">Chrysalis!$B$13</f>
        <v>400</v>
      </c>
      <c r="C8" s="7" t="s">
        <v>150</v>
      </c>
      <c r="D8" s="6" t="s">
        <v>756</v>
      </c>
    </row>
    <row r="10" customFormat="false" ht="15" hidden="false" customHeight="true" outlineLevel="0" collapsed="false">
      <c r="A10" s="13" t="s">
        <v>757</v>
      </c>
      <c r="B10" s="13"/>
      <c r="C10" s="13"/>
      <c r="D10" s="13"/>
    </row>
    <row r="11" customFormat="false" ht="15" hidden="false" customHeight="true" outlineLevel="0" collapsed="false">
      <c r="A11" s="14" t="s">
        <v>130</v>
      </c>
      <c r="B11" s="14" t="s">
        <v>131</v>
      </c>
      <c r="C11" s="14" t="s">
        <v>132</v>
      </c>
      <c r="D11" s="14" t="s">
        <v>133</v>
      </c>
    </row>
    <row r="12" customFormat="false" ht="15" hidden="false" customHeight="true" outlineLevel="0" collapsed="false">
      <c r="A12" s="6" t="s">
        <v>749</v>
      </c>
      <c r="B12" s="23" t="n">
        <f aca="false">$B$6*Constants!$B$53</f>
        <v>2782800000</v>
      </c>
      <c r="C12" s="7" t="s">
        <v>174</v>
      </c>
    </row>
    <row r="13" customFormat="false" ht="15" hidden="false" customHeight="true" outlineLevel="0" collapsed="false">
      <c r="A13" s="6" t="s">
        <v>758</v>
      </c>
      <c r="B13" s="73" t="n">
        <f aca="false">($B$12+$B$7*Constants!$B$13)/2</f>
        <v>76190335350</v>
      </c>
      <c r="C13" s="7" t="s">
        <v>174</v>
      </c>
    </row>
    <row r="14" customFormat="false" ht="15" hidden="false" customHeight="true" outlineLevel="0" collapsed="false">
      <c r="A14" s="6" t="s">
        <v>759</v>
      </c>
      <c r="B14" s="25" t="n">
        <f aca="false">2*PI()*SQRT($B$13^3/Constants!$B$14)/Constants!$B$10</f>
        <v>0.363471122250001</v>
      </c>
      <c r="C14" s="7" t="s">
        <v>150</v>
      </c>
    </row>
    <row r="15" customFormat="false" ht="15" hidden="false" customHeight="true" outlineLevel="0" collapsed="false">
      <c r="A15" s="6" t="s">
        <v>760</v>
      </c>
      <c r="B15" s="23" t="n">
        <f aca="false">SQRT(Constants!$B$14*(2/$B$12-1/$B$13))/1000</f>
        <v>306.004337972268</v>
      </c>
      <c r="C15" s="7" t="s">
        <v>182</v>
      </c>
      <c r="D15" s="6" t="s">
        <v>761</v>
      </c>
    </row>
    <row r="16" customFormat="false" ht="23.25" hidden="false" customHeight="true" outlineLevel="0" collapsed="false">
      <c r="A16" s="6" t="s">
        <v>762</v>
      </c>
      <c r="B16" s="73" t="n">
        <f aca="false">1.5*Constants!$B$14/Constants!$B$7^2*(1/$B$13-1/Constants!$B$13)</f>
        <v>1.42651661067469E-008</v>
      </c>
      <c r="C16" s="7" t="s">
        <v>193</v>
      </c>
      <c r="D16" s="6" t="s">
        <v>763</v>
      </c>
    </row>
    <row r="17" customFormat="false" ht="15" hidden="false" customHeight="true" outlineLevel="0" collapsed="false">
      <c r="A17" s="6" t="s">
        <v>764</v>
      </c>
      <c r="B17" s="56" t="n">
        <f aca="false">$B$16*Constants!$B$11*1000</f>
        <v>1.23251035162293</v>
      </c>
      <c r="C17" s="7" t="s">
        <v>765</v>
      </c>
    </row>
    <row r="18" customFormat="false" ht="15" hidden="false" customHeight="true" outlineLevel="0" collapsed="false">
      <c r="A18" s="6" t="s">
        <v>766</v>
      </c>
      <c r="B18" s="56" t="n">
        <f aca="false">$B$16*$B$14*Constants!$B$10</f>
        <v>0.163625396531705</v>
      </c>
      <c r="C18" s="7" t="s">
        <v>189</v>
      </c>
    </row>
    <row r="19" customFormat="false" ht="15" hidden="false" customHeight="true" outlineLevel="0" collapsed="false">
      <c r="A19" s="6" t="s">
        <v>767</v>
      </c>
      <c r="B19" s="71" t="n">
        <f aca="false">$B$16*$B$8*Constants!$B$10</f>
        <v>180.06976237211</v>
      </c>
      <c r="C19" s="7" t="s">
        <v>189</v>
      </c>
      <c r="D19" s="6" t="s">
        <v>768</v>
      </c>
    </row>
    <row r="20" customFormat="false" ht="15" hidden="false" customHeight="true" outlineLevel="0" collapsed="false">
      <c r="A20" s="6" t="s">
        <v>769</v>
      </c>
      <c r="B20" s="23" t="n">
        <f aca="false">Constants!$B$54/SQRT($B$12/Constants!$B$13)</f>
        <v>2045.6244785854</v>
      </c>
      <c r="C20" s="7" t="s">
        <v>382</v>
      </c>
      <c r="D20" s="6" t="s">
        <v>770</v>
      </c>
    </row>
    <row r="22" customFormat="false" ht="15" hidden="false" customHeight="true" outlineLevel="0" collapsed="false">
      <c r="A22" s="13" t="s">
        <v>771</v>
      </c>
      <c r="B22" s="13"/>
      <c r="C22" s="13"/>
      <c r="D22" s="13"/>
    </row>
    <row r="23" customFormat="false" ht="15" hidden="false" customHeight="true" outlineLevel="0" collapsed="false">
      <c r="A23" s="14" t="s">
        <v>130</v>
      </c>
      <c r="B23" s="14" t="s">
        <v>131</v>
      </c>
      <c r="C23" s="14" t="s">
        <v>132</v>
      </c>
      <c r="D23" s="14" t="s">
        <v>133</v>
      </c>
    </row>
    <row r="24" customFormat="false" ht="15" hidden="false" customHeight="true" outlineLevel="0" collapsed="false">
      <c r="A24" s="6" t="s">
        <v>772</v>
      </c>
      <c r="B24" s="70" t="n">
        <f aca="false">Chrysalis!$B$36^2/2</f>
        <v>5.58625381564366E-005</v>
      </c>
      <c r="C24" s="7" t="s">
        <v>193</v>
      </c>
    </row>
    <row r="25" customFormat="false" ht="23.25" hidden="false" customHeight="true" outlineLevel="0" collapsed="false">
      <c r="A25" s="6" t="s">
        <v>773</v>
      </c>
      <c r="B25" s="23" t="n">
        <f aca="false">$B$24/$B$16</f>
        <v>3916.01035266009</v>
      </c>
      <c r="C25" s="7" t="s">
        <v>217</v>
      </c>
      <c r="D25" s="6" t="s">
        <v>774</v>
      </c>
    </row>
    <row r="26" customFormat="false" ht="15" hidden="false" customHeight="true" outlineLevel="0" collapsed="false">
      <c r="A26" s="6" t="s">
        <v>775</v>
      </c>
      <c r="B26" s="56" t="n">
        <f aca="false">1/($B$24*2*Constants!$B$7^2/(3*Constants!$B$14)+1/Constants!$B$13)/Constants!$B$53</f>
        <v>0.0569775444226565</v>
      </c>
      <c r="C26" s="7" t="s">
        <v>750</v>
      </c>
      <c r="D26" s="6" t="s">
        <v>776</v>
      </c>
    </row>
    <row r="28" customFormat="false" ht="79.5" hidden="false" customHeight="true" outlineLevel="0" collapsed="false">
      <c r="A28" s="6" t="s">
        <v>777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2026-10-08T17:45:57Z</dcterms:created>
  <dc:creator>openpyxl</dc:creator>
  <dc:description/>
  <dc:language>en-US</dc:language>
  <cp:lastModifiedBy/>
  <dcterms:modified xsi:type="dcterms:W3CDTF">2026-10-09T15:33:47Z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